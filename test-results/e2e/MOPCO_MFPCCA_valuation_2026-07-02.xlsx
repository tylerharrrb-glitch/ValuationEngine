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Summary" state="visible" r:id="rId5"/>
    <sheet sheetId="3" name="Inputs" state="visible" r:id="rId6"/>
    <sheet sheetId="4" name="Sources" state="visible" r:id="rId7"/>
    <sheet sheetId="5" name="Historical" state="visible" r:id="rId8"/>
    <sheet sheetId="6" name="Normalization" state="visible" r:id="rId9"/>
    <sheet sheetId="7" name="Operating Model" state="visible" r:id="rId10"/>
    <sheet sheetId="8" name="WACC" state="visible" r:id="rId11"/>
    <sheet sheetId="9" name="DCF" state="visible" r:id="rId12"/>
    <sheet sheetId="10" name="USD Check" state="visible" r:id="rId13"/>
    <sheet sheetId="11" name="DDM" state="visible" r:id="rId14"/>
    <sheet sheetId="12" name="Comps Precedents SOTP" state="visible" r:id="rId15"/>
    <sheet sheetId="13" name="Scenarios" state="visible" r:id="rId16"/>
    <sheet sheetId="14" name="Sensitivity" state="visible" r:id="rId17"/>
    <sheet sheetId="15" name="Checks" state="visible" r:id="rId18"/>
  </sheets>
  <definedNames>
    <definedName name="Valuation_Date">Inputs!$D$10</definedName>
    <definedName name="Price">Inputs!$D$11</definedName>
    <definedName name="Shares_Diluted">Inputs!$D$15</definedName>
    <definedName name="Base_FYE">Inputs!$D$16</definedName>
    <definedName name="Midyear">Inputs!$D$17</definedName>
    <definedName name="Days_Per_Year">Inputs!$D$18</definedName>
    <definedName name="Beta_Unlevered">Inputs!$D$136</definedName>
    <definedName name="Rf_Source">Inputs!$D$158</definedName>
    <definedName name="CAPM_Method">Inputs!$D$160</definedName>
    <definedName name="Kd_Method">Inputs!$D$164</definedName>
    <definedName name="Terminal_Method">Inputs!$D$171</definedName>
    <definedName name="Terminal_Growth">Inputs!$D$172</definedName>
    <definedName name="Exit_Multiple">Inputs!$D$173</definedName>
    <definedName name="DA_Method">Inputs!$D$180</definedName>
    <definedName name="Capex_Mode">Inputs!$D$181</definedName>
    <definedName name="Rf">WACC!$D$12</definedName>
    <definedName name="Ke">WACC!$D$30</definedName>
    <definedName name="Tax_Rate">WACC!$D$44</definedName>
    <definedName name="WACC">WACC!$D$54</definedName>
    <definedName name="Enterprise_Value">DCF!$D$30</definedName>
    <definedName name="Equity_Value">DCF!$D$52</definedName>
    <definedName name="DCF_Per_Share">DCF!$D$54</definedName>
    <definedName name="DDM_Per_Share">DDM!$D$25</definedName>
    <definedName name="Blended_Value">Summary!$D$14</definedName>
    <definedName name="Master_Check">Checks!$D$40</definedName>
  </definedNames>
  <calcPr calcId="171027" fullCalcOnLoad="1"/>
</workbook>
</file>

<file path=xl/sharedStrings.xml><?xml version="1.0" encoding="utf-8"?>
<sst xmlns="http://schemas.openxmlformats.org/spreadsheetml/2006/main" count="4071" uniqueCount="1842">
  <si>
    <t>Misr Fertilizers Production Company (MFPC.CA): Valuation workbook</t>
  </si>
  <si>
    <t>Discounted cash flow valuation with cross-checks. Analytical only; not investment advice. Inputs are as entered; macro rates from the frozen snapshot listed on Sources.</t>
  </si>
  <si>
    <t>Blue = hardcoded input | Black = formula</t>
  </si>
  <si>
    <t>Valuation</t>
  </si>
  <si>
    <t/>
  </si>
  <si>
    <t>Value</t>
  </si>
  <si>
    <t>Notes</t>
  </si>
  <si>
    <t>Company</t>
  </si>
  <si>
    <t>Misr Fertilizers Production Company</t>
  </si>
  <si>
    <t>Ticker</t>
  </si>
  <si>
    <t>MFPC.CA</t>
  </si>
  <si>
    <t>Valuation date</t>
  </si>
  <si>
    <t>date</t>
  </si>
  <si>
    <t>Share price</t>
  </si>
  <si>
    <t>EGP</t>
  </si>
  <si>
    <t>Price date</t>
  </si>
  <si>
    <t>Prepared by</t>
  </si>
  <si>
    <t>Ahmed Wael Metwally</t>
  </si>
  <si>
    <t>Rates snapshot</t>
  </si>
  <si>
    <t>seed-2026-09-23</t>
  </si>
  <si>
    <t>Frozen 2026-09-24T07:01:32.500Z</t>
  </si>
  <si>
    <t>Terminal method</t>
  </si>
  <si>
    <t>gordon</t>
  </si>
  <si>
    <t>Master check (all checks TRUE)</t>
  </si>
  <si>
    <t>Contents</t>
  </si>
  <si>
    <t>Sheet</t>
  </si>
  <si>
    <t>Cover</t>
  </si>
  <si>
    <t>Summary</t>
  </si>
  <si>
    <t>Inputs</t>
  </si>
  <si>
    <t>Sources</t>
  </si>
  <si>
    <t>Historical</t>
  </si>
  <si>
    <t>Normalization</t>
  </si>
  <si>
    <t>Operating Model</t>
  </si>
  <si>
    <t>WACC</t>
  </si>
  <si>
    <t>DCF</t>
  </si>
  <si>
    <t>USD Check</t>
  </si>
  <si>
    <t>DDM</t>
  </si>
  <si>
    <t>Comps Precedents SOTP</t>
  </si>
  <si>
    <t>Scenarios</t>
  </si>
  <si>
    <t>Sensitivity</t>
  </si>
  <si>
    <t>Checks</t>
  </si>
  <si>
    <t>MOPCO: Summary</t>
  </si>
  <si>
    <t>Value per share by method, blend weights, implied upside and key assumptions. Values are live formulas from the model sheets.</t>
  </si>
  <si>
    <t>Value per share by method</t>
  </si>
  <si>
    <t>Value per share</t>
  </si>
  <si>
    <t>Entered weight</t>
  </si>
  <si>
    <t>Effective weight</t>
  </si>
  <si>
    <t>DCF (FCFF)</t>
  </si>
  <si>
    <t>Dividend discount model (two-stage)</t>
  </si>
  <si>
    <t>Trading comparables (median EV/EBITDA)</t>
  </si>
  <si>
    <t xml:space="preserve">Excluded when no inputs are entered. </t>
  </si>
  <si>
    <t>Precedent transactions (median EV/EBITDA)</t>
  </si>
  <si>
    <t>Sum of the parts</t>
  </si>
  <si>
    <t>Entered weights sum</t>
  </si>
  <si>
    <t>%</t>
  </si>
  <si>
    <t>Blended value per share</t>
  </si>
  <si>
    <t>Share price (2026-07-01)</t>
  </si>
  <si>
    <t>Implied upside</t>
  </si>
  <si>
    <t>Band</t>
  </si>
  <si>
    <t>Implied multiples (DCF)</t>
  </si>
  <si>
    <t>EV / normalized EBITDA FY2025A</t>
  </si>
  <si>
    <t>x</t>
  </si>
  <si>
    <t>EV / EBITDA FY2026E</t>
  </si>
  <si>
    <t>P/E FY2025A</t>
  </si>
  <si>
    <t>P/E FY2026E</t>
  </si>
  <si>
    <t>PV of terminal value / EV</t>
  </si>
  <si>
    <t>Key assumptions</t>
  </si>
  <si>
    <t>Cost of equity</t>
  </si>
  <si>
    <t>Risk-free rate</t>
  </si>
  <si>
    <t>eg.bond10ySecondary, as of 2026-05-21, status stale</t>
  </si>
  <si>
    <t>Levered beta</t>
  </si>
  <si>
    <t>Terminal growth</t>
  </si>
  <si>
    <t>Employee and board distributions, % of prior-year profit</t>
  </si>
  <si>
    <t>Football field (value per share)</t>
  </si>
  <si>
    <t>Low</t>
  </si>
  <si>
    <t>Mid</t>
  </si>
  <si>
    <t>High</t>
  </si>
  <si>
    <t>DCF (FCFF): WACC ± 1 step × g ± 1 step</t>
  </si>
  <si>
    <t>Dividend discount model</t>
  </si>
  <si>
    <t>Scenarios (Bear to Bull)</t>
  </si>
  <si>
    <t>Monte Carlo P5 to P95 (engine output, seed 20260923)</t>
  </si>
  <si>
    <t>Simulation is run by the engine; not reproduced in the workbook</t>
  </si>
  <si>
    <t>MOPCO: Inputs</t>
  </si>
  <si>
    <t>Every hardcoded number used by the workbook. Company data from the audited statements; rates from the frozen snapshot; assumptions as set by the analyst.</t>
  </si>
  <si>
    <t>Company and timeline</t>
  </si>
  <si>
    <t>Sourced fact</t>
  </si>
  <si>
    <t>Analyst assumption. Mandatory.</t>
  </si>
  <si>
    <t>Sourced fact: EFG Hermes research page (user input; EGX has no free official price feed)</t>
  </si>
  <si>
    <t>Sourced fact. Mandatory.</t>
  </si>
  <si>
    <t>Basic shares</t>
  </si>
  <si>
    <t>shares</t>
  </si>
  <si>
    <t>Sourced fact. After the 2025 bonus issue; EPS for both years computed on this count.</t>
  </si>
  <si>
    <t>Dilutive items</t>
  </si>
  <si>
    <t>None disclosed</t>
  </si>
  <si>
    <t>Diluted shares</t>
  </si>
  <si>
    <t>Base fiscal year end</t>
  </si>
  <si>
    <t>Sourced fact: latest audited year end</t>
  </si>
  <si>
    <t>Mid-year discounting (1 = on, 0 = off)</t>
  </si>
  <si>
    <t>flag</t>
  </si>
  <si>
    <t>Analyst assumption</t>
  </si>
  <si>
    <t>Days per year (unit conversion)</t>
  </si>
  <si>
    <t>days</t>
  </si>
  <si>
    <t>Unit conversion for years from valuation date and working-capital days</t>
  </si>
  <si>
    <t>Projection years</t>
  </si>
  <si>
    <t>years</t>
  </si>
  <si>
    <t>Structural: one column per projection year</t>
  </si>
  <si>
    <t>Income statement</t>
  </si>
  <si>
    <t>2024A</t>
  </si>
  <si>
    <t>2025A</t>
  </si>
  <si>
    <t>Net sales</t>
  </si>
  <si>
    <t>Sourced fact: audited statements</t>
  </si>
  <si>
    <t xml:space="preserve">  of which export sales</t>
  </si>
  <si>
    <t>Cost of sales</t>
  </si>
  <si>
    <t>Gross profit</t>
  </si>
  <si>
    <t>Other income</t>
  </si>
  <si>
    <t xml:space="preserve">  of which provisions no longer required</t>
  </si>
  <si>
    <t>Selling and marketing</t>
  </si>
  <si>
    <t>General and administrative</t>
  </si>
  <si>
    <t>Capital gains</t>
  </si>
  <si>
    <t>Other expenses</t>
  </si>
  <si>
    <t>Impairment reversal</t>
  </si>
  <si>
    <t>ECL reversal / (charge)</t>
  </si>
  <si>
    <t>Other operating items</t>
  </si>
  <si>
    <t>Operating profit</t>
  </si>
  <si>
    <t>Finance income</t>
  </si>
  <si>
    <t>Finance cost: bank debt and bonds</t>
  </si>
  <si>
    <t>Finance cost: lease interest</t>
  </si>
  <si>
    <t>Finance cost: employee benefit interest</t>
  </si>
  <si>
    <t>Finance cost: other</t>
  </si>
  <si>
    <t>FX translation gain / (loss)</t>
  </si>
  <si>
    <t>Share of associates</t>
  </si>
  <si>
    <t>Other non-operating items</t>
  </si>
  <si>
    <t>Profit before tax</t>
  </si>
  <si>
    <t>Current tax</t>
  </si>
  <si>
    <t>Deferred tax</t>
  </si>
  <si>
    <t>Total tax</t>
  </si>
  <si>
    <t>Net profit</t>
  </si>
  <si>
    <t>Profit attributable to minority interest</t>
  </si>
  <si>
    <t>Depreciation (notes)</t>
  </si>
  <si>
    <t>Amortization (notes)</t>
  </si>
  <si>
    <t>EPS as reported</t>
  </si>
  <si>
    <t>Balance sheet</t>
  </si>
  <si>
    <t>Fixed assets and projects under construction</t>
  </si>
  <si>
    <t>Other assets and projects</t>
  </si>
  <si>
    <t>Right-of-use assets</t>
  </si>
  <si>
    <t>Goodwill</t>
  </si>
  <si>
    <t>Associates (equity method)</t>
  </si>
  <si>
    <t>Amortized-cost investments (non-current)</t>
  </si>
  <si>
    <t>Restricted / pledged deposits (non-current)</t>
  </si>
  <si>
    <t>Deferred tax asset</t>
  </si>
  <si>
    <t>Other non-current assets</t>
  </si>
  <si>
    <t>Inventory</t>
  </si>
  <si>
    <t>Accounts receivable</t>
  </si>
  <si>
    <t>Amortized-cost investments (current)</t>
  </si>
  <si>
    <t>FVTPL financial assets</t>
  </si>
  <si>
    <t>Debtors and other debit balances</t>
  </si>
  <si>
    <t>Due from related parties</t>
  </si>
  <si>
    <t>Supplier advance payments</t>
  </si>
  <si>
    <t>Restricted cash (current)</t>
  </si>
  <si>
    <t>Cash at banks and on hand</t>
  </si>
  <si>
    <t>Total assets</t>
  </si>
  <si>
    <t>Issued capital</t>
  </si>
  <si>
    <t>Legal reserve</t>
  </si>
  <si>
    <t>Other reserves</t>
  </si>
  <si>
    <t>Retained earnings</t>
  </si>
  <si>
    <t>Other equity items</t>
  </si>
  <si>
    <t>Minority interest</t>
  </si>
  <si>
    <t>Preferred equity</t>
  </si>
  <si>
    <t>Total equity</t>
  </si>
  <si>
    <t>Bank debt (non-current)</t>
  </si>
  <si>
    <t>Bonds (non-current)</t>
  </si>
  <si>
    <t>Lease liabilities (non-current)</t>
  </si>
  <si>
    <t>Deferred tax liabilities</t>
  </si>
  <si>
    <t>Employee benefits (non-current)</t>
  </si>
  <si>
    <t>Other non-current liabilities</t>
  </si>
  <si>
    <t>Bank debt (current)</t>
  </si>
  <si>
    <t>Lease liabilities (current)</t>
  </si>
  <si>
    <t>Current income tax</t>
  </si>
  <si>
    <t>Trade payables</t>
  </si>
  <si>
    <t>Creditors and other credit balances</t>
  </si>
  <si>
    <t>Customer advances</t>
  </si>
  <si>
    <t>Employee benefits (current)</t>
  </si>
  <si>
    <t>Provisions</t>
  </si>
  <si>
    <t>Due to related parties</t>
  </si>
  <si>
    <t>Other current liabilities</t>
  </si>
  <si>
    <t>Total liabilities</t>
  </si>
  <si>
    <t>Cash flow statement</t>
  </si>
  <si>
    <t>Cash from operations before distributions and taxes</t>
  </si>
  <si>
    <t>Dividends paid to employees and board</t>
  </si>
  <si>
    <t>Income taxes paid</t>
  </si>
  <si>
    <t>Employee benefits paid</t>
  </si>
  <si>
    <t>Other operating cash flows</t>
  </si>
  <si>
    <t>Net cash from operating activities</t>
  </si>
  <si>
    <t>Interest received</t>
  </si>
  <si>
    <t>Capex</t>
  </si>
  <si>
    <t>Dividends paid to shareholders</t>
  </si>
  <si>
    <t>Lease payments</t>
  </si>
  <si>
    <t>Net change in cash</t>
  </si>
  <si>
    <t>Normalization adjustments (removed from reported operating profit)</t>
  </si>
  <si>
    <t>Include (1/0)</t>
  </si>
  <si>
    <t>Analyst assumption. Expected credit loss movements are non-recurring. Amount from the FY2025 income statement.</t>
  </si>
  <si>
    <t>Provisions no longer required (inside other income)</t>
  </si>
  <si>
    <t>Analyst assumption. Release of prior-year provisions does not recur. Amount from the FY2025 income statement.</t>
  </si>
  <si>
    <t>Capital gains / (losses) on disposals</t>
  </si>
  <si>
    <t>Analyst assumption. Disposal gains are not part of recurring operations. Amount from the FY2025 income statement.</t>
  </si>
  <si>
    <t>Rates used (frozen snapshot seed-2026-09-23)</t>
  </si>
  <si>
    <t>EGP 10Y government bond, secondary-market YTM [eg.bond10ySecondary]</t>
  </si>
  <si>
    <t>Sourced fact: Cbonds, as of 2026-05-21, status stale</t>
  </si>
  <si>
    <t>EGP T-bond auction, 3y fixed coupon (accepted weighted average yield) [eg.tbondAuction.3y]</t>
  </si>
  <si>
    <t>Sourced fact: Central Bank of Egypt, T-bond auction results, as of 2026-07-13, status stale. Not used by the selected methods.</t>
  </si>
  <si>
    <t>Inflation-based riskfree rate, EGP [damodaran.rf.egp]</t>
  </si>
  <si>
    <t>Estimate: Damodaran Online (NYU Stern), as of 2026-07-01, status ok. Not used by the selected methods.</t>
  </si>
  <si>
    <t>US Treasury 10Y [us.treasury10y]</t>
  </si>
  <si>
    <t>Sourced fact: US Treasury (intraday, owner research), as of 2026-09-23, status ok</t>
  </si>
  <si>
    <t>Expected inflation 2026-2031, Egypt [damodaran.expectedInflation.egp]</t>
  </si>
  <si>
    <t>Expected inflation, USD [damodaran.expectedInflation.usd]</t>
  </si>
  <si>
    <t>Mature-market equity risk premium [damodaran.matureErp]</t>
  </si>
  <si>
    <t>Estimate: Damodaran Online (NYU Stern), as of 2026-07-01, status ok</t>
  </si>
  <si>
    <t>Egypt country risk premium [damodaran.egypt.crp]</t>
  </si>
  <si>
    <t>Egypt rating-based default spread [damodaran.egypt.defaultSpread]</t>
  </si>
  <si>
    <t>Corporate income tax rate [eg.cit]</t>
  </si>
  <si>
    <t>Sourced fact: Income Tax Law 91/2005, as of 2026-09-23, status ok</t>
  </si>
  <si>
    <t>USD/EGP [eg.usdEgp]</t>
  </si>
  <si>
    <t>EGP/USD</t>
  </si>
  <si>
    <t>Sourced fact: Market close (owner research), as of 2026-09-21, status ok</t>
  </si>
  <si>
    <t>CBE overnight lending rate [cbe.overnightLending]</t>
  </si>
  <si>
    <t>Sourced fact: Central Bank of Egypt, as of 2026-08-20, status stale. Not used by the selected methods.</t>
  </si>
  <si>
    <t>Unlevered beta (corrected for cash)</t>
  </si>
  <si>
    <t>Estimate: Damodaran emerging markets, industry "Chemical (Basic)", dataset 2026-01-05</t>
  </si>
  <si>
    <t>Synthetic rating table (damodaran.synthetic.small, sorted by lower coverage bound)</t>
  </si>
  <si>
    <t>Coverage above</t>
  </si>
  <si>
    <t>Rating</t>
  </si>
  <si>
    <t>Spread</t>
  </si>
  <si>
    <t>D2/D</t>
  </si>
  <si>
    <t>Estimate: Damodaran ratings.xls</t>
  </si>
  <si>
    <t>C2/C</t>
  </si>
  <si>
    <t>Ca2/CC</t>
  </si>
  <si>
    <t>Caa/CCC</t>
  </si>
  <si>
    <t>B3/B-</t>
  </si>
  <si>
    <t>B2/B</t>
  </si>
  <si>
    <t>B1/B+</t>
  </si>
  <si>
    <t>Ba2/BB</t>
  </si>
  <si>
    <t>Ba1/BB+</t>
  </si>
  <si>
    <t>Baa2/BBB</t>
  </si>
  <si>
    <t>A3/A-</t>
  </si>
  <si>
    <t>A2/A</t>
  </si>
  <si>
    <t>A1/A+</t>
  </si>
  <si>
    <t>Aa2/AA</t>
  </si>
  <si>
    <t>Aaa/AAA</t>
  </si>
  <si>
    <t>Cost of capital</t>
  </si>
  <si>
    <t>Risk-free source (eg_10y_secondary / cbe_auction / damodaran_egp / fisher_us10y)</t>
  </si>
  <si>
    <t>text</t>
  </si>
  <si>
    <t>eg_10y_secondary</t>
  </si>
  <si>
    <t>Auction yield used when source = cbe_auction</t>
  </si>
  <si>
    <t>Registry id eg.tbondAuction.3y</t>
  </si>
  <si>
    <t>CAPM method (local_rf / A / B / C)</t>
  </si>
  <si>
    <t>local_rf</t>
  </si>
  <si>
    <t>Lambda (method C)</t>
  </si>
  <si>
    <t>Size / illiquidity premium</t>
  </si>
  <si>
    <t>Analyst assumption. No size or illiquidity premium applied.</t>
  </si>
  <si>
    <t>Relevering tax rate</t>
  </si>
  <si>
    <t>Statutory CIT</t>
  </si>
  <si>
    <t>Cost of debt method (synthetic / cbe_plus_spread / actual)</t>
  </si>
  <si>
    <t>synthetic</t>
  </si>
  <si>
    <t>Spread over CBE lending rate</t>
  </si>
  <si>
    <t>Analyst assumption (used only with cbe_plus_spread)</t>
  </si>
  <si>
    <t>Capital weights (market / target)</t>
  </si>
  <si>
    <t>market</t>
  </si>
  <si>
    <t>Target D/V</t>
  </si>
  <si>
    <t>Analyst assumption (used only with target weights)</t>
  </si>
  <si>
    <t>Terminal value</t>
  </si>
  <si>
    <t>Terminal method (gordon / exit_multiple)</t>
  </si>
  <si>
    <t>Analyst assumption. Near Egypt long-run nominal GDP; test sensitivity.</t>
  </si>
  <si>
    <t>Exit multiple (EV/EBITDA)</t>
  </si>
  <si>
    <t>Estimate. Company EV/EBITDA at the price date: (market capitalisation + interest-bearing debt − unrestricted cash and investments) / FY2025 reported EBITDA.</t>
  </si>
  <si>
    <t>Long-run nominal GDP proxy (growth warning)</t>
  </si>
  <si>
    <t>RONIC (blank = WACC)</t>
  </si>
  <si>
    <t>Analyst assumption; default WACC (conservative)</t>
  </si>
  <si>
    <t>Terminal value share of EV warning level</t>
  </si>
  <si>
    <t>Spec 5.5 guard</t>
  </si>
  <si>
    <t>Operating drivers per projection year</t>
  </si>
  <si>
    <t>2026E</t>
  </si>
  <si>
    <t>2027E</t>
  </si>
  <si>
    <t>2028E</t>
  </si>
  <si>
    <t>2029E</t>
  </si>
  <si>
    <t>2030E</t>
  </si>
  <si>
    <t>Terminal</t>
  </si>
  <si>
    <t>D&amp;A method (ppe_rollforward / pct_revenue)</t>
  </si>
  <si>
    <t>ppe_rollforward</t>
  </si>
  <si>
    <t>Capex mode (pct_revenue / absolute)</t>
  </si>
  <si>
    <t>pct_revenue</t>
  </si>
  <si>
    <t>Analyst assumption; terminal year always % revenue</t>
  </si>
  <si>
    <t>Revenue growth</t>
  </si>
  <si>
    <t>Analyst assumption: FY actual fading linearly to terminal growth</t>
  </si>
  <si>
    <t>Gross margin before D&amp;A</t>
  </si>
  <si>
    <t>Analyst assumption: FY actual, linear fade to terminal</t>
  </si>
  <si>
    <t>SG&amp;A</t>
  </si>
  <si>
    <t>% revenue</t>
  </si>
  <si>
    <t>Other operating (net)</t>
  </si>
  <si>
    <t>D&amp;A (% revenue mode)</t>
  </si>
  <si>
    <t>Depreciation rate on opening PP&amp;E</t>
  </si>
  <si>
    <t>Amortization</t>
  </si>
  <si>
    <t>Analyst assumption: FY actual fading linearly to the terminal level; terminal = value-driver consistent (g / RONIC reinvestment)</t>
  </si>
  <si>
    <t>Capex (absolute mode)</t>
  </si>
  <si>
    <t>Receivable days (on revenue)</t>
  </si>
  <si>
    <t>Inventory days (on cash cost of sales)</t>
  </si>
  <si>
    <t>Payable days (on cash cost of sales)</t>
  </si>
  <si>
    <t>Other operating current assets</t>
  </si>
  <si>
    <t>Other operating current liabilities</t>
  </si>
  <si>
    <t>Tax rate on EBIT</t>
  </si>
  <si>
    <t>Egypt-specific adjustments and bridge options</t>
  </si>
  <si>
    <t>Deduct employee and board distributions (1/0)</t>
  </si>
  <si>
    <t>Analyst assumption. Under EAS these go through equity but are a recurring cash payment to non-shareholders.</t>
  </si>
  <si>
    <t>Distributions, % of prior-year net profit</t>
  </si>
  <si>
    <t>Analyst assumption. Based on FY2025 actual: employee and board distributions paid ÷ FY2024 net profit.</t>
  </si>
  <si>
    <t>Net finance income (annual, pre-tax)</t>
  </si>
  <si>
    <t>Analyst assumption. FY2025 finance income less finance costs, held flat. Used only for forecast net profit (distribution base, forward P/E).</t>
  </si>
  <si>
    <t>Deduct employee benefit obligations (1/0)</t>
  </si>
  <si>
    <t>Tax-effect employee benefit obligations (1/0)</t>
  </si>
  <si>
    <t>Associates fair value (blank = carrying value)</t>
  </si>
  <si>
    <t>Scenario driver sets (full re-runs)</t>
  </si>
  <si>
    <t>Bear</t>
  </si>
  <si>
    <t>Base</t>
  </si>
  <si>
    <t>Bull</t>
  </si>
  <si>
    <t>Probability</t>
  </si>
  <si>
    <t>Revenue growth delta (every projection year)</t>
  </si>
  <si>
    <t>pp</t>
  </si>
  <si>
    <t>Gross margin delta (every year, incl. terminal)</t>
  </si>
  <si>
    <t>WACC delta</t>
  </si>
  <si>
    <t>Terminal growth delta</t>
  </si>
  <si>
    <t>DPS override (blank = shareholder dividends / basic shares)</t>
  </si>
  <si>
    <t>Employee and board distributions are never included</t>
  </si>
  <si>
    <t>High-growth rate</t>
  </si>
  <si>
    <t>Analyst assumption. Forecast revenue CAGR over the projection period.</t>
  </si>
  <si>
    <t>High-growth years</t>
  </si>
  <si>
    <t>Analyst assumption; one column per year on the DDM sheet</t>
  </si>
  <si>
    <t>Stable growth</t>
  </si>
  <si>
    <t>Analyst assumption. Equal to the DCF terminal growth.</t>
  </si>
  <si>
    <t>H-model half-life factor (H = years × factor)</t>
  </si>
  <si>
    <t>Definition of the H-model half-life</t>
  </si>
  <si>
    <t>USD consistency check: inflation paths</t>
  </si>
  <si>
    <t>EGP inflation</t>
  </si>
  <si>
    <t>Default: urban headline CPI in year 1, CBE target point from year 3, linear in between</t>
  </si>
  <si>
    <t>USD inflation</t>
  </si>
  <si>
    <t>Analyst assumption: 2.5% flat</t>
  </si>
  <si>
    <t>Sensitivity steps and grid offsets</t>
  </si>
  <si>
    <t>WACC step</t>
  </si>
  <si>
    <t>Terminal growth step</t>
  </si>
  <si>
    <t>Exit multiple step</t>
  </si>
  <si>
    <t>Revenue growth step</t>
  </si>
  <si>
    <t>Gross margin step</t>
  </si>
  <si>
    <t>Risk-free step</t>
  </si>
  <si>
    <t>Levered beta step</t>
  </si>
  <si>
    <t>Grid offsets (steps from base)</t>
  </si>
  <si>
    <t>steps</t>
  </si>
  <si>
    <t>Five columns and rows with the base case at the centre</t>
  </si>
  <si>
    <t>Blend weights (must sum to 100%)</t>
  </si>
  <si>
    <t>Weight</t>
  </si>
  <si>
    <t>Trading comparables</t>
  </si>
  <si>
    <t>Precedent transactions</t>
  </si>
  <si>
    <t>Presentation bands</t>
  </si>
  <si>
    <t>Verdict band ("In line with market price" within ±)</t>
  </si>
  <si>
    <t>Spec 5.13</t>
  </si>
  <si>
    <t>Check tolerance: amounts</t>
  </si>
  <si>
    <t>Checks sheet</t>
  </si>
  <si>
    <t>Check tolerance: per-share values</t>
  </si>
  <si>
    <t>Check tolerance: rates and weights</t>
  </si>
  <si>
    <t>First quartile point</t>
  </si>
  <si>
    <t>Quartiles by linear interpolation (PERCENTILE.INC)</t>
  </si>
  <si>
    <t>Third quartile point</t>
  </si>
  <si>
    <t>USD check consistency band (±)</t>
  </si>
  <si>
    <t>Gap within this band is described as consistent</t>
  </si>
  <si>
    <t>Score constants (Altman Z''-EM, Altman 2005)</t>
  </si>
  <si>
    <t>Constant</t>
  </si>
  <si>
    <t>Sourced fact: Altman (2005), zones as tabulated by Altman et al.</t>
  </si>
  <si>
    <t>X1 coefficient (working capital / total assets)</t>
  </si>
  <si>
    <t>X2 coefficient (retained earnings / total assets)</t>
  </si>
  <si>
    <t>X3 coefficient (EBIT / total assets)</t>
  </si>
  <si>
    <t>X4 coefficient (book equity / total liabilities)</t>
  </si>
  <si>
    <t>Safe zone above</t>
  </si>
  <si>
    <t>Distress zone below</t>
  </si>
  <si>
    <t>Trading comparables (raw peer inputs)</t>
  </si>
  <si>
    <t>No peers entered. The comparables method is excluded from the blend.</t>
  </si>
  <si>
    <t>No transactions entered. The precedents method is excluded from the blend.</t>
  </si>
  <si>
    <t>Sum-of-the-parts segments</t>
  </si>
  <si>
    <t>No segments entered. The SOTP method is excluded from the blend.</t>
  </si>
  <si>
    <t>Broker targets (reference only, not in the blend)</t>
  </si>
  <si>
    <t>No broker targets entered.</t>
  </si>
  <si>
    <t>FX sensitivity shares</t>
  </si>
  <si>
    <t>USD-linked share of revenue</t>
  </si>
  <si>
    <t>Sourced fact: export share of FY sales (pre-filled)</t>
  </si>
  <si>
    <t>USD-linked share of costs</t>
  </si>
  <si>
    <t>Not entered (no default)</t>
  </si>
  <si>
    <t>Engine outputs (stored for the parity check on the Checks sheet)</t>
  </si>
  <si>
    <t>DCF value per share</t>
  </si>
  <si>
    <t>Output of the WOLF engine for the same inputs</t>
  </si>
  <si>
    <t>Enterprise value</t>
  </si>
  <si>
    <t>Equity value</t>
  </si>
  <si>
    <t>DDM two-stage value per share</t>
  </si>
  <si>
    <t>Probability-weighted scenario value per share</t>
  </si>
  <si>
    <t>Monte Carlo P5 (seed 20260923, 10000 runs)</t>
  </si>
  <si>
    <t>Monte Carlo median</t>
  </si>
  <si>
    <t>Monte Carlo P95</t>
  </si>
  <si>
    <t>MOPCO: Sources</t>
  </si>
  <si>
    <t>Every registry value in the frozen rates snapshot seed-2026-09-23, with source, date and status; and the source of the company data.</t>
  </si>
  <si>
    <t>Company data</t>
  </si>
  <si>
    <t>Financial statements</t>
  </si>
  <si>
    <t>Audited financial statements for the year ended 31 December 2025 (with FY2024 comparatives). All amounts in EGP.</t>
  </si>
  <si>
    <t>Auditor</t>
  </si>
  <si>
    <t>Crowe - Dr. A. M. Hegazy &amp; Co.</t>
  </si>
  <si>
    <t>Audit report date</t>
  </si>
  <si>
    <t>Share price source</t>
  </si>
  <si>
    <t>EFG Hermes research page (user input; EGX has no free official price feed)</t>
  </si>
  <si>
    <t>Associate</t>
  </si>
  <si>
    <t>25% stake in Damietta Green Ammonia, accounted for by the equity method.</t>
  </si>
  <si>
    <t>Audited FY2025 financial statements</t>
  </si>
  <si>
    <t>Capital commitments</t>
  </si>
  <si>
    <t>Outstanding capital commitments: EGP 939m + USD 4m + EUR 101m.</t>
  </si>
  <si>
    <t>Expansion project</t>
  </si>
  <si>
    <t>Urea/ammonia expansion project spend to date approximately EGP 5.9bn.</t>
  </si>
  <si>
    <t>Employee profit share</t>
  </si>
  <si>
    <t>Articles of association pay 10% of cash dividends to employees, capped at annual salaries.</t>
  </si>
  <si>
    <t>Borrowings</t>
  </si>
  <si>
    <t>Bank borrowings are nil at 31-Dec-2025 and 31-Dec-2024. Interest-bearing debt consists of lease liabilities only.</t>
  </si>
  <si>
    <t>Historical years</t>
  </si>
  <si>
    <t>FY2021 to FY2023 not supplied as audited data and left empty.</t>
  </si>
  <si>
    <t>Owner instruction</t>
  </si>
  <si>
    <t>Segments</t>
  </si>
  <si>
    <t>Urea / ammonia segment figures are in the segment note of the audited statements but were not supplied in the fixture data; SOTP requires user entry.</t>
  </si>
  <si>
    <t>Rates registry (snapshot seed-2026-09-23)</t>
  </si>
  <si>
    <t>Label</t>
  </si>
  <si>
    <t>Id</t>
  </si>
  <si>
    <t>Unit</t>
  </si>
  <si>
    <t>Nature</t>
  </si>
  <si>
    <t>Source</t>
  </si>
  <si>
    <t>URL</t>
  </si>
  <si>
    <t>As of</t>
  </si>
  <si>
    <t>Method</t>
  </si>
  <si>
    <t>Status</t>
  </si>
  <si>
    <t>Used in model</t>
  </si>
  <si>
    <t>Flag</t>
  </si>
  <si>
    <t>CBE overnight deposit rate</t>
  </si>
  <si>
    <t>cbe.overnightDeposit</t>
  </si>
  <si>
    <t>pct</t>
  </si>
  <si>
    <t>official</t>
  </si>
  <si>
    <t>Central Bank of Egypt</t>
  </si>
  <si>
    <t>https://www.cbe.org.eg/en/</t>
  </si>
  <si>
    <t>manual</t>
  </si>
  <si>
    <t>stale</t>
  </si>
  <si>
    <t>No</t>
  </si>
  <si>
    <t>MPC 20-Aug-2026: rates held. Next MPC 24-Sep-2026; must be re-verified after that meeting.</t>
  </si>
  <si>
    <t>CBE overnight lending rate</t>
  </si>
  <si>
    <t>cbe.overnightLending</t>
  </si>
  <si>
    <t>CBE main operation rate</t>
  </si>
  <si>
    <t>cbe.mainOperation</t>
  </si>
  <si>
    <t>CBE discount rate</t>
  </si>
  <si>
    <t>cbe.discountRate</t>
  </si>
  <si>
    <t>https://www.cbe.org.eg/en/monetary-policy/mpc-meetings-schedule</t>
  </si>
  <si>
    <t>CBE inflation target</t>
  </si>
  <si>
    <t>cbe.inflationTarget</t>
  </si>
  <si>
    <t>7% ±2pp, Q4 2026 (CBE guidance now points to 2H 2027)</t>
  </si>
  <si>
    <t>https://www.cbe.org.eg/en/monetary-policy/inflation-target</t>
  </si>
  <si>
    <t>ok</t>
  </si>
  <si>
    <t>CBE inflation target (point, for USD-check inflation fade)</t>
  </si>
  <si>
    <t>cbe.inflationTargetPoint</t>
  </si>
  <si>
    <t>Point of the 7% ±2pp target. The CBE homepage on 23-Sep-2026 shows "7.0% (±2 percentage points) on average in 2026 Q4".</t>
  </si>
  <si>
    <t>CBE MPC meeting dates</t>
  </si>
  <si>
    <t>cbe.mpcCalendar</t>
  </si>
  <si>
    <t>2026-08-20, 2026-09-24</t>
  </si>
  <si>
    <t>date_list</t>
  </si>
  <si>
    <t>Central Bank of Egypt, MPC meetings schedule</t>
  </si>
  <si>
    <t>unconfirmed</t>
  </si>
  <si>
    <t>20-Aug-2026 confirmed by the CBE homepage news item "MPC decides to keep key policy rates unchanged". 24-Sep-2026 from owner research. The CBE schedule page renders dates with JavaScript and could not be read on 23-Sep-2026; remaining 2026 and 2027 dates are unconfirmed.</t>
  </si>
  <si>
    <t>Urban headline CPI inflation, y/y</t>
  </si>
  <si>
    <t>eg.cpiUrbanHeadline</t>
  </si>
  <si>
    <t>CAPMAS (reported by CBE)</t>
  </si>
  <si>
    <t>https://www.cbe.org.eg/en/monetary-policy/inflation</t>
  </si>
  <si>
    <t>August 2026, released 10-Sep-2026.</t>
  </si>
  <si>
    <t>Core CPI inflation, y/y</t>
  </si>
  <si>
    <t>eg.cpiCore</t>
  </si>
  <si>
    <t>Nationwide CPI inflation, y/y</t>
  </si>
  <si>
    <t>eg.cpiNationwide</t>
  </si>
  <si>
    <t>CAPMAS</t>
  </si>
  <si>
    <t>TO_VERIFY</t>
  </si>
  <si>
    <t>USD/EGP</t>
  </si>
  <si>
    <t>eg.usdEgp</t>
  </si>
  <si>
    <t>EGP_per_USD</t>
  </si>
  <si>
    <t>market_quote</t>
  </si>
  <si>
    <t>Market close (owner research)</t>
  </si>
  <si>
    <t>Yes</t>
  </si>
  <si>
    <t>Approximate market close 21-Sep-2026. The Worker replaces it with the CBE official rate (https://www.cbe.org.eg/en/economic-research/statistics/cbe-exchange-rates).</t>
  </si>
  <si>
    <t>EGP 10Y government bond, secondary-market YTM</t>
  </si>
  <si>
    <t>eg.bond10ySecondary</t>
  </si>
  <si>
    <t>Cbonds</t>
  </si>
  <si>
    <t>Last quote available to the owner is 21-May-2026. Manual refresh required.</t>
  </si>
  <si>
    <t>EGP T-bond auction, 3y fixed coupon (accepted weighted average yield)</t>
  </si>
  <si>
    <t>eg.tbondAuction.3y</t>
  </si>
  <si>
    <t>Central Bank of Egypt, T-bond auction results</t>
  </si>
  <si>
    <t>https://www.cbe.org.eg/en/auctions/egp-t-bonds-fixed-coupon</t>
  </si>
  <si>
    <t>Auction of 13-Jul-2026. Recent auctions were 2Y and 3Y only.</t>
  </si>
  <si>
    <t>US Treasury 10Y</t>
  </si>
  <si>
    <t>us.treasury10y</t>
  </si>
  <si>
    <t>US Treasury (intraday, owner research)</t>
  </si>
  <si>
    <t>https://home.treasury.gov/resource-center/data-chart-center/interest-rates/TextView?type=daily_treasury_yield_curve</t>
  </si>
  <si>
    <t>Approximate intraday level 23-Sep-2026. The Worker replaces it with the Treasury daily par yield (10-year).</t>
  </si>
  <si>
    <t>Egypt sovereign rating, Moody's</t>
  </si>
  <si>
    <t>eg.rating.moodys</t>
  </si>
  <si>
    <t>Caa1 (positive)</t>
  </si>
  <si>
    <t>rating</t>
  </si>
  <si>
    <t>Moody's Ratings</t>
  </si>
  <si>
    <t>https://ratings.moodys.com/ratings-news/462631</t>
  </si>
  <si>
    <t>Egypt sovereign rating, S&amp;P</t>
  </si>
  <si>
    <t>eg.rating.sp</t>
  </si>
  <si>
    <t>B (stable)</t>
  </si>
  <si>
    <t>S&amp;P Global Ratings press release; secondary: Ahram Online 11-Apr-2026</t>
  </si>
  <si>
    <t>Affirmation at B/B, stable. Candidate primary URL from a search index, not opened (HTTP 403 on 23-Sep-2026): https://www.spglobal.com/ratings/en/regulatory/article/-/view/type/HTML/id/3544107. The pre-v2 engine showed "B-", which is wrong.</t>
  </si>
  <si>
    <t>Egypt sovereign rating, Fitch</t>
  </si>
  <si>
    <t>eg.rating.fitch</t>
  </si>
  <si>
    <t>Fitch Ratings (via Ahram Online, 11-Oct-2025)</t>
  </si>
  <si>
    <t>https://english.ahram.org.eg/News/554751.aspx</t>
  </si>
  <si>
    <t>Last confirmed action Oct-2025. No 2026 Fitch action found on 23-Sep-2026; fitchratings.com not checked successfully.</t>
  </si>
  <si>
    <t>Corporate income tax rate</t>
  </si>
  <si>
    <t>eg.cit</t>
  </si>
  <si>
    <t>statutory</t>
  </si>
  <si>
    <t>Income Tax Law 91/2005</t>
  </si>
  <si>
    <t>Dividend withholding tax, EGX-listed</t>
  </si>
  <si>
    <t>eg.dividendWht.listed</t>
  </si>
  <si>
    <t>Law 151 of 2026</t>
  </si>
  <si>
    <t>Effective 29-Jul-2026.</t>
  </si>
  <si>
    <t>Dividend withholding tax, unlisted</t>
  </si>
  <si>
    <t>eg.dividendWht.unlisted</t>
  </si>
  <si>
    <t>Participation exemption</t>
  </si>
  <si>
    <t>eg.participationExemption</t>
  </si>
  <si>
    <t>100% exempt if holding ≥25% for ≥2 years</t>
  </si>
  <si>
    <t>EGX stamp duty per side</t>
  </si>
  <si>
    <t>eg.stampDuty.perSide</t>
  </si>
  <si>
    <t>0.05% per side on EGX trades; 0.025% per side for same-session trades; withheld by MCDR from the 29-Jul-2026 session. The pre-v2 engine used 0.125%, which is wrong.</t>
  </si>
  <si>
    <t>Capital gains tax, listed shares</t>
  </si>
  <si>
    <t>eg.cgt.listedShares</t>
  </si>
  <si>
    <t>Exempt (replaced by stamp duty)</t>
  </si>
  <si>
    <t>Mature-market equity risk premium</t>
  </si>
  <si>
    <t>damodaran.matureErp</t>
  </si>
  <si>
    <t>estimate</t>
  </si>
  <si>
    <t>Damodaran Online (NYU Stern)</t>
  </si>
  <si>
    <t>https://pages.stern.nyu.edu/~adamodar/pc/datasets/ctrypremJuly26.xlsx</t>
  </si>
  <si>
    <t>Workbook "ERPs by country"!E3 = 0.042. Secondary sources conflict (4.17% vs 4.20%); the workbook value is used.</t>
  </si>
  <si>
    <t>Equity / bond volatility scalar</t>
  </si>
  <si>
    <t>damodaran.volatilityScalar</t>
  </si>
  <si>
    <t>ratio</t>
  </si>
  <si>
    <t>Workbook "ERPs by country"!E6 (from "Relative Equity Volatility"!D7).</t>
  </si>
  <si>
    <t>Egypt rating used by Damodaran</t>
  </si>
  <si>
    <t>damodaran.egypt.rating</t>
  </si>
  <si>
    <t>Caa1</t>
  </si>
  <si>
    <t>Moody's rating column.</t>
  </si>
  <si>
    <t>Egypt rating-based default spread</t>
  </si>
  <si>
    <t>damodaran.egypt.defaultSpread</t>
  </si>
  <si>
    <t>Egypt country risk premium</t>
  </si>
  <si>
    <t>damodaran.egypt.crp</t>
  </si>
  <si>
    <t>Egypt total equity risk premium</t>
  </si>
  <si>
    <t>damodaran.egypt.totalErp</t>
  </si>
  <si>
    <t>Inflation-based riskfree rate, EGP</t>
  </si>
  <si>
    <t>damodaran.rf.egp</t>
  </si>
  <si>
    <t>https://pages.stern.nyu.edu/~adamodar/pc/blog/DiffInflationRiskfree26.xlsx</t>
  </si>
  <si>
    <t>Damodaran "Inflation-based riskfree rates, by currency - July 2026": USD riskfree adjusted for the expected inflation differential (2026-2031).</t>
  </si>
  <si>
    <t>Riskfree rate, USD (Damodaran, July 2026)</t>
  </si>
  <si>
    <t>damodaran.rf.usd</t>
  </si>
  <si>
    <t>Expected inflation 2026-2031, Egypt</t>
  </si>
  <si>
    <t>damodaran.expectedInflation.egp</t>
  </si>
  <si>
    <t>Expected inflation, USD</t>
  </si>
  <si>
    <t>damodaran.expectedInflation.usd</t>
  </si>
  <si>
    <t>Emerging-market industry betas (unlevered, corrected for cash)</t>
  </si>
  <si>
    <t>damodaran.betas.emerging</t>
  </si>
  <si>
    <t>Table, 96 rows</t>
  </si>
  <si>
    <t>table</t>
  </si>
  <si>
    <t>https://pages.stern.nyu.edu/~adamodar/pc/datasets/betaemerg.xls</t>
  </si>
  <si>
    <t>Dataset "Date updated" cell = 2026-01-05; updated annually in January. 96 industries.</t>
  </si>
  <si>
    <t>Synthetic rating table, large non-financial firms</t>
  </si>
  <si>
    <t>damodaran.synthetic.large</t>
  </si>
  <si>
    <t>Table, 15 rows</t>
  </si>
  <si>
    <t>https://pages.stern.nyu.edu/~adamodar/pc/ratings.xls</t>
  </si>
  <si>
    <t>ratings.html: "Data used is as of January 2026". Spreads in percent.</t>
  </si>
  <si>
    <t>Synthetic rating table, smaller and riskier firms</t>
  </si>
  <si>
    <t>damodaran.synthetic.small</t>
  </si>
  <si>
    <t>MOPCO: Historical analysis</t>
  </si>
  <si>
    <t>Audited years available: 2024, 2025. Earlier years were not supplied and are not filled. N/A where two years are required.</t>
  </si>
  <si>
    <t>Ratios</t>
  </si>
  <si>
    <t>N/A</t>
  </si>
  <si>
    <t>Gross margin</t>
  </si>
  <si>
    <t>EBITDA margin (reported)</t>
  </si>
  <si>
    <t>Net margin</t>
  </si>
  <si>
    <t>Effective tax rate</t>
  </si>
  <si>
    <t>Return on equity (year-end equity)</t>
  </si>
  <si>
    <t>Current ratio</t>
  </si>
  <si>
    <t>Net cash (cash and investments less debt and leases)</t>
  </si>
  <si>
    <t>Piotroski F-score (latest year versus prior year; ratios on year-end total assets)</t>
  </si>
  <si>
    <t>Current</t>
  </si>
  <si>
    <t>Prior</t>
  </si>
  <si>
    <t>Score</t>
  </si>
  <si>
    <t>Return on assets positive</t>
  </si>
  <si>
    <t>Operating cash flow positive</t>
  </si>
  <si>
    <t>Return on assets improved</t>
  </si>
  <si>
    <t>Cash flow / assets above ROA (accruals)</t>
  </si>
  <si>
    <t>Long-term leverage lower</t>
  </si>
  <si>
    <t>Current ratio higher</t>
  </si>
  <si>
    <t>No equity issued (shares restated; bonus issues are not dilution)</t>
  </si>
  <si>
    <t>Gross margin higher</t>
  </si>
  <si>
    <t>Asset turnover higher</t>
  </si>
  <si>
    <t>F-score</t>
  </si>
  <si>
    <t>of 9</t>
  </si>
  <si>
    <t>Altman Z''-EM (Altman 2005, emerging markets)</t>
  </si>
  <si>
    <t>X1 working capital / total assets</t>
  </si>
  <si>
    <t>X2 retained earnings / total assets</t>
  </si>
  <si>
    <t>X3 EBIT / total assets</t>
  </si>
  <si>
    <t>X4 book equity / total liabilities</t>
  </si>
  <si>
    <t>Z''-EM score</t>
  </si>
  <si>
    <t>Zone</t>
  </si>
  <si>
    <t>DuPont (FY2025; average balances)</t>
  </si>
  <si>
    <t>Asset turnover</t>
  </si>
  <si>
    <t>Equity multiplier</t>
  </si>
  <si>
    <t>ROE (3-step)</t>
  </si>
  <si>
    <t>Tax burden (net profit / PBT)</t>
  </si>
  <si>
    <t>Interest burden (PBT / EBIT)</t>
  </si>
  <si>
    <t>Above 1 when finance income exceeds finance costs</t>
  </si>
  <si>
    <t>EBIT margin</t>
  </si>
  <si>
    <t>ROE (5-step)</t>
  </si>
  <si>
    <t>MOPCO: Normalization</t>
  </si>
  <si>
    <t>Reported FY2025 operating profit to normalized EBIT and EBITDA. Each adjustment is an analyst assumption and can be switched off on Inputs.</t>
  </si>
  <si>
    <t>FY2025A</t>
  </si>
  <si>
    <t>Amount</t>
  </si>
  <si>
    <t>Include</t>
  </si>
  <si>
    <t>Removed</t>
  </si>
  <si>
    <t>Reported operating profit</t>
  </si>
  <si>
    <t>Less: ECL reversal / (charge)</t>
  </si>
  <si>
    <t>Less: Provisions no longer required (inside other income)</t>
  </si>
  <si>
    <t>Less: Capital gains / (losses) on disposals</t>
  </si>
  <si>
    <t>Total removed</t>
  </si>
  <si>
    <t>Normalized EBIT</t>
  </si>
  <si>
    <t>Add: depreciation</t>
  </si>
  <si>
    <t>Sourced fact (notes)</t>
  </si>
  <si>
    <t>Add: amortization</t>
  </si>
  <si>
    <t>Normalized EBITDA</t>
  </si>
  <si>
    <t>Reported EBITDA (operating profit + D&amp;A)</t>
  </si>
  <si>
    <t>Finance income and FX translation gains or losses are non-operating: excluded from FCFF; the related balance-sheet items enter the equity bridge.</t>
  </si>
  <si>
    <t>MOPCO: Operating model</t>
  </si>
  <si>
    <t>Revenue to EBITDA, EBIT, NOPAT, working capital, PP&amp;E roll-forward, distributions and FCFF. Drivers from Inputs; base year from the audited statements.</t>
  </si>
  <si>
    <t>Operating model</t>
  </si>
  <si>
    <t>Inputs; terminal year = terminal growth</t>
  </si>
  <si>
    <t>Revenue</t>
  </si>
  <si>
    <t>Prior year × (1 + growth)</t>
  </si>
  <si>
    <t>All D&amp;A assumed in cost of sales</t>
  </si>
  <si>
    <t>Gross profit before D&amp;A</t>
  </si>
  <si>
    <t>Normalized: after removing non-recurring items</t>
  </si>
  <si>
    <t>Other operating income (net)</t>
  </si>
  <si>
    <t>EBITDA</t>
  </si>
  <si>
    <t>Base year = normalized EBITDA</t>
  </si>
  <si>
    <t>Opening PP&amp;E</t>
  </si>
  <si>
    <t>Depreciation</t>
  </si>
  <si>
    <t>Roll-forward: rate × opening PP&amp;E; % revenue mode: D&amp;A % × revenue</t>
  </si>
  <si>
    <t>D&amp;A</t>
  </si>
  <si>
    <t>Terminal year: % revenue (value-driver consistent)</t>
  </si>
  <si>
    <t>Closing PP&amp;E</t>
  </si>
  <si>
    <t>Opening + capex − depreciation</t>
  </si>
  <si>
    <t>EBIT</t>
  </si>
  <si>
    <t>Base year = normalized EBIT</t>
  </si>
  <si>
    <t>Tax on EBIT</t>
  </si>
  <si>
    <t>NOPAT</t>
  </si>
  <si>
    <t>Cash cost of sales</t>
  </si>
  <si>
    <t>Revenue × (1 − gross margin before D&amp;A)</t>
  </si>
  <si>
    <t>Receivable days</t>
  </si>
  <si>
    <t>Inventory days</t>
  </si>
  <si>
    <t>Payable days</t>
  </si>
  <si>
    <t>Debtors and other debit balances, supplier advances, due from related parties</t>
  </si>
  <si>
    <t>Creditors and other credit balances, customer advances, provisions, due to related parties</t>
  </si>
  <si>
    <t>Operating net working capital</t>
  </si>
  <si>
    <t>Change in net working capital</t>
  </si>
  <si>
    <t>Net profit (forecast: NOPAT + after-tax net finance income)</t>
  </si>
  <si>
    <t>Distribution base and forward P/E only</t>
  </si>
  <si>
    <t>Employee and board distributions</t>
  </si>
  <si>
    <t>% of prior-year net profit</t>
  </si>
  <si>
    <t>Free cash flow to the firm (FCFF)</t>
  </si>
  <si>
    <t>NOPAT + D&amp;A − capex − change in NWC − distributions</t>
  </si>
  <si>
    <t>MOPCO: Cost of capital</t>
  </si>
  <si>
    <t>Risk-free rate, bottom-up beta, cost of equity, cost of debt and weights. All rates from the frozen snapshot on Inputs.</t>
  </si>
  <si>
    <t>(a) EGP 10Y secondary YTM</t>
  </si>
  <si>
    <t>As of 2026-05-21, status stale</t>
  </si>
  <si>
    <t>(b) CBE auction yield (selected tenor)</t>
  </si>
  <si>
    <t>(c) Damodaran inflation-based EGP riskfree</t>
  </si>
  <si>
    <t>(d) US 10Y converted with expected inflation (Fisher)</t>
  </si>
  <si>
    <t>Risk-free rate used</t>
  </si>
  <si>
    <t>Source: eg_10y_secondary</t>
  </si>
  <si>
    <t>Clean risk-free rate (1 = yes)</t>
  </si>
  <si>
    <t>Local government yields already contain sovereign default risk</t>
  </si>
  <si>
    <t>Beta (bottom-up)</t>
  </si>
  <si>
    <t>Industry: Chemical (Basic); dataset 2026-01-05</t>
  </si>
  <si>
    <t>Interest-bearing debt (bank, bonds, leases)</t>
  </si>
  <si>
    <t>Book value as market-value proxy</t>
  </si>
  <si>
    <t>Market value of equity</t>
  </si>
  <si>
    <t>Price × diluted shares</t>
  </si>
  <si>
    <t>D/E</t>
  </si>
  <si>
    <t>βU × (1 + (1 − t) × D/E)</t>
  </si>
  <si>
    <t>Mature-market ERP</t>
  </si>
  <si>
    <t>Premium multiplied by beta</t>
  </si>
  <si>
    <t>Method B loads CRP into the beta premium</t>
  </si>
  <si>
    <t>Premium added outside beta</t>
  </si>
  <si>
    <t>Method A: CRP; C: λ × CRP; local_rf and B: none</t>
  </si>
  <si>
    <t>Cost of equity (Ke)</t>
  </si>
  <si>
    <t>Method local_rf</t>
  </si>
  <si>
    <t>Cost of debt</t>
  </si>
  <si>
    <t>Debt and lease interest (employee-benefit interest excluded)</t>
  </si>
  <si>
    <t>Interest coverage (normalized EBIT / interest)</t>
  </si>
  <si>
    <t>Synthetic rating table row</t>
  </si>
  <si>
    <t>row</t>
  </si>
  <si>
    <t>Largest lower coverage bound not above the coverage</t>
  </si>
  <si>
    <t>Synthetic rating</t>
  </si>
  <si>
    <t>Company default spread</t>
  </si>
  <si>
    <t>Country default spread (added when Rf is clean)</t>
  </si>
  <si>
    <t>Kd, synthetic</t>
  </si>
  <si>
    <t>Kd, CBE lending + spread</t>
  </si>
  <si>
    <t>Kd, actual (interest / average interest-bearing debt)</t>
  </si>
  <si>
    <t>Pre-tax cost of debt used</t>
  </si>
  <si>
    <t>Method synthetic</t>
  </si>
  <si>
    <t>Tax rate</t>
  </si>
  <si>
    <t>After-tax cost of debt</t>
  </si>
  <si>
    <t>Company spread for the USD check (0 unless synthetic)</t>
  </si>
  <si>
    <t>Kd moves with Rf (1 = synthetic)</t>
  </si>
  <si>
    <t>Kd component independent of Rf</t>
  </si>
  <si>
    <t>Weights and WACC</t>
  </si>
  <si>
    <t>E/V</t>
  </si>
  <si>
    <t>D/V</t>
  </si>
  <si>
    <t>Risk-free rate eg.bond10ySecondary is stale (as of 2026-05-21).</t>
  </si>
  <si>
    <t>MOPCO: DCF</t>
  </si>
  <si>
    <t>Stub year and mid-year timing from the valuation date; Gordon and exit-multiple terminal values; equity bridge from the latest balance sheet (cash flows between the year end and the valuation date are not captured).</t>
  </si>
  <si>
    <t>Discounting (valuation date, stub, mid-year)</t>
  </si>
  <si>
    <t>Fiscal year ended</t>
  </si>
  <si>
    <t>Period start</t>
  </si>
  <si>
    <t>Share of year cash flow included</t>
  </si>
  <si>
    <t>Year 1 = YEARFRAC(valuation date, first fiscal year end, actual/actual)</t>
  </si>
  <si>
    <t>Date for discounting</t>
  </si>
  <si>
    <t>Mid-point of the period when mid-year is on, else period end</t>
  </si>
  <si>
    <t>Years from valuation date</t>
  </si>
  <si>
    <t>Discount factor</t>
  </si>
  <si>
    <t>FCFF</t>
  </si>
  <si>
    <t>FCFF included</t>
  </si>
  <si>
    <t>Present value</t>
  </si>
  <si>
    <t>Sum of present values</t>
  </si>
  <si>
    <t>Years to final period end</t>
  </si>
  <si>
    <t>Terminal value discounted from the final period end</t>
  </si>
  <si>
    <t>Terminal discount factor</t>
  </si>
  <si>
    <t>Terminal-year FCFF</t>
  </si>
  <si>
    <t>Gordon terminal value</t>
  </si>
  <si>
    <t>FCFF(n+1) / (WACC − g)</t>
  </si>
  <si>
    <t>PV of Gordon terminal value</t>
  </si>
  <si>
    <t>Final-year EBITDA</t>
  </si>
  <si>
    <t>Exit-multiple terminal value</t>
  </si>
  <si>
    <t>EBITDA(n) × exit multiple</t>
  </si>
  <si>
    <t>PV of exit-multiple terminal value</t>
  </si>
  <si>
    <t>PV of terminal value used</t>
  </si>
  <si>
    <t>Method: gordon</t>
  </si>
  <si>
    <t>Implied exit multiple from Gordon</t>
  </si>
  <si>
    <t>Implied growth from exit value</t>
  </si>
  <si>
    <t>WACC − FCFF(n+1) / exit TV</t>
  </si>
  <si>
    <t>RONIC</t>
  </si>
  <si>
    <t>Reinvestment rate implied by g / RONIC</t>
  </si>
  <si>
    <t>Terminal-year reinvestment rate in the forecast</t>
  </si>
  <si>
    <t>(Capex − D&amp;A + change in NWC) / NOPAT</t>
  </si>
  <si>
    <t>Enterprise value to equity value (balance sheet 2025-12-31)</t>
  </si>
  <si>
    <t>Add: cash and cash equivalents</t>
  </si>
  <si>
    <t>Add: FVTPL securities</t>
  </si>
  <si>
    <t>Add: amortized-cost investments (current)</t>
  </si>
  <si>
    <t>Add: amortized-cost investments (non-current)</t>
  </si>
  <si>
    <t>Add: associates</t>
  </si>
  <si>
    <t>Less: bank debt and bonds</t>
  </si>
  <si>
    <t>Less: lease liabilities (EAS 49)</t>
  </si>
  <si>
    <t>Less: employee benefit obligations</t>
  </si>
  <si>
    <t>Less: minority interest</t>
  </si>
  <si>
    <t>Less: preferred equity</t>
  </si>
  <si>
    <t>Memo: restricted / pledged deposits (excluded)</t>
  </si>
  <si>
    <t>Not available to shareholders; not added</t>
  </si>
  <si>
    <t>Bridge total</t>
  </si>
  <si>
    <t>Upside versus price</t>
  </si>
  <si>
    <t>Implied multiples</t>
  </si>
  <si>
    <t>Equity value / net profit FY2025A</t>
  </si>
  <si>
    <t>Equity value / net profit FY2026E</t>
  </si>
  <si>
    <t>MOPCO: USD consistency check</t>
  </si>
  <si>
    <t>EGP cash flows converted at inflation-parity forward rates and discounted at a USD cost of capital. A consistency check of the EGP discount rate, not a second answer.</t>
  </si>
  <si>
    <t>Forward exchange rates</t>
  </si>
  <si>
    <t>Inflation differential</t>
  </si>
  <si>
    <t>Forward USD/EGP</t>
  </si>
  <si>
    <t>S0 × Π (1 + π EGP) / (1 + π USD)</t>
  </si>
  <si>
    <t>FCFF included, USD</t>
  </si>
  <si>
    <t>USD</t>
  </si>
  <si>
    <t>USD cost of capital (method A in USD)</t>
  </si>
  <si>
    <t>US 10Y Treasury</t>
  </si>
  <si>
    <t>Cost of equity, USD</t>
  </si>
  <si>
    <t>US 10Y + βL × ERP + CRP + size premium</t>
  </si>
  <si>
    <t>Cost of debt, USD (pre-tax)</t>
  </si>
  <si>
    <t>US 10Y + company spread + country default spread</t>
  </si>
  <si>
    <t>WACC, USD</t>
  </si>
  <si>
    <t>USD valuation</t>
  </si>
  <si>
    <t>Discount factor, USD</t>
  </si>
  <si>
    <t>Present value, USD</t>
  </si>
  <si>
    <t>USD bridge and comparison</t>
  </si>
  <si>
    <t>Forward USD/EGP, terminal year</t>
  </si>
  <si>
    <t>Terminal growth, USD</t>
  </si>
  <si>
    <t>Same real growth as the EGP terminal growth</t>
  </si>
  <si>
    <t>Sum of present values, USD</t>
  </si>
  <si>
    <t>Terminal value, USD</t>
  </si>
  <si>
    <t>PV of terminal value, USD</t>
  </si>
  <si>
    <t>Enterprise value, USD</t>
  </si>
  <si>
    <t>Bridge, USD (EGP bridge / spot)</t>
  </si>
  <si>
    <t>Equity value, USD</t>
  </si>
  <si>
    <t>USD equity value converted at spot</t>
  </si>
  <si>
    <t>Equity value, EGP DCF</t>
  </si>
  <si>
    <t>Gap (USD-derived / EGP - 1)</t>
  </si>
  <si>
    <t>Risk-free differential (EGP Rf - US 10Y)</t>
  </si>
  <si>
    <t>Average inflation differential</t>
  </si>
  <si>
    <t>MOPCO: Dividend discount model</t>
  </si>
  <si>
    <t>Shareholder dividends only (employee and board distributions excluded). Two-stage model (headline) and H-model, discounted at the cost of equity.</t>
  </si>
  <si>
    <t>DPS (base year)</t>
  </si>
  <si>
    <t>FY2025 dividends paid to shareholders / basic shares</t>
  </si>
  <si>
    <t>Columns below are laid out for this number of years</t>
  </si>
  <si>
    <t>Dividends</t>
  </si>
  <si>
    <t>Year 1</t>
  </si>
  <si>
    <t>Year 2</t>
  </si>
  <si>
    <t>Year 3</t>
  </si>
  <si>
    <t>Year 4</t>
  </si>
  <si>
    <t>Year 5</t>
  </si>
  <si>
    <t>Dividend per share</t>
  </si>
  <si>
    <t>PV of high-growth dividends</t>
  </si>
  <si>
    <t>Terminal value at end of high growth</t>
  </si>
  <si>
    <t>PV of terminal value</t>
  </si>
  <si>
    <t>Two-stage value per share</t>
  </si>
  <si>
    <t>H (half-life of high growth)</t>
  </si>
  <si>
    <t>H-model value per share</t>
  </si>
  <si>
    <t>Sustainability</t>
  </si>
  <si>
    <t>ROE (net profit / average equity)</t>
  </si>
  <si>
    <t>Payout (shareholder dividends / net profit)</t>
  </si>
  <si>
    <t>Sustainable growth (ROE × retention)</t>
  </si>
  <si>
    <t>Stable growth within sustainable growth</t>
  </si>
  <si>
    <t>check</t>
  </si>
  <si>
    <t>FALSE = warning: stable growth exceeds ROE × retention</t>
  </si>
  <si>
    <t>Payout at or below 100%</t>
  </si>
  <si>
    <t>MOPCO: Comparables, precedents and SOTP</t>
  </si>
  <si>
    <t>Multiples computed from the raw peer and transaction inputs on Inputs; implied values use the equity bridge of the DCF sheet. Methods without inputs are excluded from the blend.</t>
  </si>
  <si>
    <t>No peers entered on Inputs. No multiple is computed and the method is excluded from the blend.</t>
  </si>
  <si>
    <t>No transactions entered on Inputs. The method is excluded from the blend.</t>
  </si>
  <si>
    <t>No segments entered on Inputs. The method is excluded from the blend.</t>
  </si>
  <si>
    <t>Broker targets (reference only)</t>
  </si>
  <si>
    <t>MOPCO: Scenarios</t>
  </si>
  <si>
    <t>Bear, Base and Bull are explicit driver sets on Inputs; each is a full re-run of the operating model and DCF below. Probabilities must sum to 100%.</t>
  </si>
  <si>
    <t>Scenario summary</t>
  </si>
  <si>
    <t>Revenue growth delta (every year)</t>
  </si>
  <si>
    <t>Gross margin delta</t>
  </si>
  <si>
    <t>WACC used</t>
  </si>
  <si>
    <t>Terminal growth used</t>
  </si>
  <si>
    <t>Probability sum</t>
  </si>
  <si>
    <t>Probability-weighted value per share</t>
  </si>
  <si>
    <t>Bear case: operating model and DCF</t>
  </si>
  <si>
    <t>Bear: WACC used</t>
  </si>
  <si>
    <t>Bear: terminal growth used</t>
  </si>
  <si>
    <t>Bear: Revenue</t>
  </si>
  <si>
    <t>Bear: Gross profit before D&amp;A</t>
  </si>
  <si>
    <t>Bear: SG&amp;A</t>
  </si>
  <si>
    <t>Bear: Other operating income (net)</t>
  </si>
  <si>
    <t>Bear: EBITDA</t>
  </si>
  <si>
    <t>Bear: Opening PP&amp;E</t>
  </si>
  <si>
    <t>Bear: Depreciation</t>
  </si>
  <si>
    <t>Bear: Amortization</t>
  </si>
  <si>
    <t>Bear: D&amp;A</t>
  </si>
  <si>
    <t>Bear: Capex</t>
  </si>
  <si>
    <t>Bear: Closing PP&amp;E</t>
  </si>
  <si>
    <t>Bear: EBIT</t>
  </si>
  <si>
    <t>Bear: Tax rate on EBIT</t>
  </si>
  <si>
    <t>Bear: Tax on EBIT</t>
  </si>
  <si>
    <t>Bear: NOPAT</t>
  </si>
  <si>
    <t>Bear: Cash cost of sales</t>
  </si>
  <si>
    <t>Bear: Accounts receivable</t>
  </si>
  <si>
    <t>Bear: Inventory</t>
  </si>
  <si>
    <t>Bear: Trade payables</t>
  </si>
  <si>
    <t>Bear: Other operating current assets</t>
  </si>
  <si>
    <t>Bear: Other operating current liabilities</t>
  </si>
  <si>
    <t>Bear: Operating net working capital</t>
  </si>
  <si>
    <t>Bear: Change in net working capital</t>
  </si>
  <si>
    <t>Bear: Net profit (forecast: NOPAT + after-tax net finance income)</t>
  </si>
  <si>
    <t>Bear: Employee and board distributions</t>
  </si>
  <si>
    <t>Bear: Free cash flow to the firm (FCFF)</t>
  </si>
  <si>
    <t>Bear: Present value of FCFF</t>
  </si>
  <si>
    <t>Bear: Sum of present values</t>
  </si>
  <si>
    <t>Bear: Terminal value</t>
  </si>
  <si>
    <t>Bear: Enterprise value</t>
  </si>
  <si>
    <t>Bear: Equity value</t>
  </si>
  <si>
    <t>Bear: Value per share</t>
  </si>
  <si>
    <t>Base case: operating model and DCF</t>
  </si>
  <si>
    <t>Base: WACC used</t>
  </si>
  <si>
    <t>Base: terminal growth used</t>
  </si>
  <si>
    <t>Base: Revenue</t>
  </si>
  <si>
    <t>Base: Gross profit before D&amp;A</t>
  </si>
  <si>
    <t>Base: SG&amp;A</t>
  </si>
  <si>
    <t>Base: Other operating income (net)</t>
  </si>
  <si>
    <t>Base: EBITDA</t>
  </si>
  <si>
    <t>Base: Opening PP&amp;E</t>
  </si>
  <si>
    <t>Base: Depreciation</t>
  </si>
  <si>
    <t>Base: Amortization</t>
  </si>
  <si>
    <t>Base: D&amp;A</t>
  </si>
  <si>
    <t>Base: Capex</t>
  </si>
  <si>
    <t>Base: Closing PP&amp;E</t>
  </si>
  <si>
    <t>Base: EBIT</t>
  </si>
  <si>
    <t>Base: Tax rate on EBIT</t>
  </si>
  <si>
    <t>Base: Tax on EBIT</t>
  </si>
  <si>
    <t>Base: NOPAT</t>
  </si>
  <si>
    <t>Base: Cash cost of sales</t>
  </si>
  <si>
    <t>Base: Accounts receivable</t>
  </si>
  <si>
    <t>Base: Inventory</t>
  </si>
  <si>
    <t>Base: Trade payables</t>
  </si>
  <si>
    <t>Base: Other operating current assets</t>
  </si>
  <si>
    <t>Base: Other operating current liabilities</t>
  </si>
  <si>
    <t>Base: Operating net working capital</t>
  </si>
  <si>
    <t>Base: Change in net working capital</t>
  </si>
  <si>
    <t>Base: Net profit (forecast: NOPAT + after-tax net finance income)</t>
  </si>
  <si>
    <t>Base: Employee and board distributions</t>
  </si>
  <si>
    <t>Base: Free cash flow to the firm (FCFF)</t>
  </si>
  <si>
    <t>Base: Present value of FCFF</t>
  </si>
  <si>
    <t>Base: Sum of present values</t>
  </si>
  <si>
    <t>Base: Terminal value</t>
  </si>
  <si>
    <t>Base: Enterprise value</t>
  </si>
  <si>
    <t>Base: Equity value</t>
  </si>
  <si>
    <t>Base: Value per share</t>
  </si>
  <si>
    <t>Bull case: operating model and DCF</t>
  </si>
  <si>
    <t>Bull: WACC used</t>
  </si>
  <si>
    <t>Bull: terminal growth used</t>
  </si>
  <si>
    <t>Bull: Revenue</t>
  </si>
  <si>
    <t>Bull: Gross profit before D&amp;A</t>
  </si>
  <si>
    <t>Bull: SG&amp;A</t>
  </si>
  <si>
    <t>Bull: Other operating income (net)</t>
  </si>
  <si>
    <t>Bull: EBITDA</t>
  </si>
  <si>
    <t>Bull: Opening PP&amp;E</t>
  </si>
  <si>
    <t>Bull: Depreciation</t>
  </si>
  <si>
    <t>Bull: Amortization</t>
  </si>
  <si>
    <t>Bull: D&amp;A</t>
  </si>
  <si>
    <t>Bull: Capex</t>
  </si>
  <si>
    <t>Bull: Closing PP&amp;E</t>
  </si>
  <si>
    <t>Bull: EBIT</t>
  </si>
  <si>
    <t>Bull: Tax rate on EBIT</t>
  </si>
  <si>
    <t>Bull: Tax on EBIT</t>
  </si>
  <si>
    <t>Bull: NOPAT</t>
  </si>
  <si>
    <t>Bull: Cash cost of sales</t>
  </si>
  <si>
    <t>Bull: Accounts receivable</t>
  </si>
  <si>
    <t>Bull: Inventory</t>
  </si>
  <si>
    <t>Bull: Trade payables</t>
  </si>
  <si>
    <t>Bull: Other operating current assets</t>
  </si>
  <si>
    <t>Bull: Other operating current liabilities</t>
  </si>
  <si>
    <t>Bull: Operating net working capital</t>
  </si>
  <si>
    <t>Bull: Change in net working capital</t>
  </si>
  <si>
    <t>Bull: Net profit (forecast: NOPAT + after-tax net finance income)</t>
  </si>
  <si>
    <t>Bull: Employee and board distributions</t>
  </si>
  <si>
    <t>Bull: Free cash flow to the firm (FCFF)</t>
  </si>
  <si>
    <t>Bull: Present value of FCFF</t>
  </si>
  <si>
    <t>Bull: Sum of present values</t>
  </si>
  <si>
    <t>Bull: Terminal value</t>
  </si>
  <si>
    <t>Bull: Enterprise value</t>
  </si>
  <si>
    <t>Bull: Equity value</t>
  </si>
  <si>
    <t>Bull: Value per share</t>
  </si>
  <si>
    <t>MOPCO: Sensitivity</t>
  </si>
  <si>
    <t>Value per share, 5 × 5 grids with the base case at the centre. Each cell is a full re-run in formulas: grids 1, 2 and 4 re-discount the model cash flows; grid 3 uses one mini operating model per cell (below).</t>
  </si>
  <si>
    <t>Grid 1 support: terminal-year FCFF by terminal growth</t>
  </si>
  <si>
    <t>g − 2 steps</t>
  </si>
  <si>
    <t>g − 1 step</t>
  </si>
  <si>
    <t>g + 1 step</t>
  </si>
  <si>
    <t>g + 2 steps</t>
  </si>
  <si>
    <t>Terminal-year revenue</t>
  </si>
  <si>
    <t>Distributions</t>
  </si>
  <si>
    <t>Grid 1: WACC × terminal growth (Gordon)</t>
  </si>
  <si>
    <t>WACC / Terminal growth</t>
  </si>
  <si>
    <t>Grid 2: WACC × exit multiple</t>
  </si>
  <si>
    <t>WACC / Exit EV/EBITDA</t>
  </si>
  <si>
    <t>Grid 3: revenue growth delta (rows) × gross margin delta (columns)</t>
  </si>
  <si>
    <t>Growth / Margin</t>
  </si>
  <si>
    <t>Grid 4: risk-free rate × levered beta</t>
  </si>
  <si>
    <t>Risk-free rate / Levered beta</t>
  </si>
  <si>
    <t>Grid 3 support: one mini operating model per cell (revenue growth delta × gross margin delta)</t>
  </si>
  <si>
    <t>Cell (1,1): revenue growth delta | gross margin delta</t>
  </si>
  <si>
    <t>(1,1) Revenue</t>
  </si>
  <si>
    <t>(1,1) Gross profit before D&amp;A</t>
  </si>
  <si>
    <t>(1,1) SG&amp;A</t>
  </si>
  <si>
    <t>(1,1) Other operating income (net)</t>
  </si>
  <si>
    <t>(1,1) EBITDA</t>
  </si>
  <si>
    <t>(1,1) Opening PP&amp;E</t>
  </si>
  <si>
    <t>(1,1) Depreciation</t>
  </si>
  <si>
    <t>(1,1) Amortization</t>
  </si>
  <si>
    <t>(1,1) D&amp;A</t>
  </si>
  <si>
    <t>(1,1) Capex</t>
  </si>
  <si>
    <t>(1,1) Closing PP&amp;E</t>
  </si>
  <si>
    <t>(1,1) EBIT</t>
  </si>
  <si>
    <t>(1,1) Tax rate on EBIT</t>
  </si>
  <si>
    <t>(1,1) Tax on EBIT</t>
  </si>
  <si>
    <t>(1,1) NOPAT</t>
  </si>
  <si>
    <t>(1,1) Cash cost of sales</t>
  </si>
  <si>
    <t>(1,1) Accounts receivable</t>
  </si>
  <si>
    <t>(1,1) Inventory</t>
  </si>
  <si>
    <t>(1,1) Trade payables</t>
  </si>
  <si>
    <t>(1,1) Other operating current assets</t>
  </si>
  <si>
    <t>(1,1) Other operating current liabilities</t>
  </si>
  <si>
    <t>(1,1) Operating net working capital</t>
  </si>
  <si>
    <t>(1,1) Change in net working capital</t>
  </si>
  <si>
    <t>(1,1) Net profit (forecast: NOPAT + after-tax net finance income)</t>
  </si>
  <si>
    <t>(1,1) Employee and board distributions</t>
  </si>
  <si>
    <t>(1,1) Free cash flow to the firm (FCFF)</t>
  </si>
  <si>
    <t>(1,1) Present value of FCFF</t>
  </si>
  <si>
    <t>(1,1) Sum of present values</t>
  </si>
  <si>
    <t>(1,1) Terminal value</t>
  </si>
  <si>
    <t>(1,1) Enterprise value</t>
  </si>
  <si>
    <t>(1,1) Equity value</t>
  </si>
  <si>
    <t>(1,1) Value per share</t>
  </si>
  <si>
    <t>Cell (1,2): revenue growth delta | gross margin delta</t>
  </si>
  <si>
    <t>(1,2) Revenue</t>
  </si>
  <si>
    <t>(1,2) Gross profit before D&amp;A</t>
  </si>
  <si>
    <t>(1,2) SG&amp;A</t>
  </si>
  <si>
    <t>(1,2) Other operating income (net)</t>
  </si>
  <si>
    <t>(1,2) EBITDA</t>
  </si>
  <si>
    <t>(1,2) Opening PP&amp;E</t>
  </si>
  <si>
    <t>(1,2) Depreciation</t>
  </si>
  <si>
    <t>(1,2) Amortization</t>
  </si>
  <si>
    <t>(1,2) D&amp;A</t>
  </si>
  <si>
    <t>(1,2) Capex</t>
  </si>
  <si>
    <t>(1,2) Closing PP&amp;E</t>
  </si>
  <si>
    <t>(1,2) EBIT</t>
  </si>
  <si>
    <t>(1,2) Tax rate on EBIT</t>
  </si>
  <si>
    <t>(1,2) Tax on EBIT</t>
  </si>
  <si>
    <t>(1,2) NOPAT</t>
  </si>
  <si>
    <t>(1,2) Cash cost of sales</t>
  </si>
  <si>
    <t>(1,2) Accounts receivable</t>
  </si>
  <si>
    <t>(1,2) Inventory</t>
  </si>
  <si>
    <t>(1,2) Trade payables</t>
  </si>
  <si>
    <t>(1,2) Other operating current assets</t>
  </si>
  <si>
    <t>(1,2) Other operating current liabilities</t>
  </si>
  <si>
    <t>(1,2) Operating net working capital</t>
  </si>
  <si>
    <t>(1,2) Change in net working capital</t>
  </si>
  <si>
    <t>(1,2) Net profit (forecast: NOPAT + after-tax net finance income)</t>
  </si>
  <si>
    <t>(1,2) Employee and board distributions</t>
  </si>
  <si>
    <t>(1,2) Free cash flow to the firm (FCFF)</t>
  </si>
  <si>
    <t>(1,2) Present value of FCFF</t>
  </si>
  <si>
    <t>(1,2) Sum of present values</t>
  </si>
  <si>
    <t>(1,2) Terminal value</t>
  </si>
  <si>
    <t>(1,2) Enterprise value</t>
  </si>
  <si>
    <t>(1,2) Equity value</t>
  </si>
  <si>
    <t>(1,2) Value per share</t>
  </si>
  <si>
    <t>Cell (1,3): revenue growth delta | gross margin delta</t>
  </si>
  <si>
    <t>(1,3) Revenue</t>
  </si>
  <si>
    <t>(1,3) Gross profit before D&amp;A</t>
  </si>
  <si>
    <t>(1,3) SG&amp;A</t>
  </si>
  <si>
    <t>(1,3) Other operating income (net)</t>
  </si>
  <si>
    <t>(1,3) EBITDA</t>
  </si>
  <si>
    <t>(1,3) Opening PP&amp;E</t>
  </si>
  <si>
    <t>(1,3) Depreciation</t>
  </si>
  <si>
    <t>(1,3) Amortization</t>
  </si>
  <si>
    <t>(1,3) D&amp;A</t>
  </si>
  <si>
    <t>(1,3) Capex</t>
  </si>
  <si>
    <t>(1,3) Closing PP&amp;E</t>
  </si>
  <si>
    <t>(1,3) EBIT</t>
  </si>
  <si>
    <t>(1,3) Tax rate on EBIT</t>
  </si>
  <si>
    <t>(1,3) Tax on EBIT</t>
  </si>
  <si>
    <t>(1,3) NOPAT</t>
  </si>
  <si>
    <t>(1,3) Cash cost of sales</t>
  </si>
  <si>
    <t>(1,3) Accounts receivable</t>
  </si>
  <si>
    <t>(1,3) Inventory</t>
  </si>
  <si>
    <t>(1,3) Trade payables</t>
  </si>
  <si>
    <t>(1,3) Other operating current assets</t>
  </si>
  <si>
    <t>(1,3) Other operating current liabilities</t>
  </si>
  <si>
    <t>(1,3) Operating net working capital</t>
  </si>
  <si>
    <t>(1,3) Change in net working capital</t>
  </si>
  <si>
    <t>(1,3) Net profit (forecast: NOPAT + after-tax net finance income)</t>
  </si>
  <si>
    <t>(1,3) Employee and board distributions</t>
  </si>
  <si>
    <t>(1,3) Free cash flow to the firm (FCFF)</t>
  </si>
  <si>
    <t>(1,3) Present value of FCFF</t>
  </si>
  <si>
    <t>(1,3) Sum of present values</t>
  </si>
  <si>
    <t>(1,3) Terminal value</t>
  </si>
  <si>
    <t>(1,3) Enterprise value</t>
  </si>
  <si>
    <t>(1,3) Equity value</t>
  </si>
  <si>
    <t>(1,3) Value per share</t>
  </si>
  <si>
    <t>Cell (1,4): revenue growth delta | gross margin delta</t>
  </si>
  <si>
    <t>(1,4) Revenue</t>
  </si>
  <si>
    <t>(1,4) Gross profit before D&amp;A</t>
  </si>
  <si>
    <t>(1,4) SG&amp;A</t>
  </si>
  <si>
    <t>(1,4) Other operating income (net)</t>
  </si>
  <si>
    <t>(1,4) EBITDA</t>
  </si>
  <si>
    <t>(1,4) Opening PP&amp;E</t>
  </si>
  <si>
    <t>(1,4) Depreciation</t>
  </si>
  <si>
    <t>(1,4) Amortization</t>
  </si>
  <si>
    <t>(1,4) D&amp;A</t>
  </si>
  <si>
    <t>(1,4) Capex</t>
  </si>
  <si>
    <t>(1,4) Closing PP&amp;E</t>
  </si>
  <si>
    <t>(1,4) EBIT</t>
  </si>
  <si>
    <t>(1,4) Tax rate on EBIT</t>
  </si>
  <si>
    <t>(1,4) Tax on EBIT</t>
  </si>
  <si>
    <t>(1,4) NOPAT</t>
  </si>
  <si>
    <t>(1,4) Cash cost of sales</t>
  </si>
  <si>
    <t>(1,4) Accounts receivable</t>
  </si>
  <si>
    <t>(1,4) Inventory</t>
  </si>
  <si>
    <t>(1,4) Trade payables</t>
  </si>
  <si>
    <t>(1,4) Other operating current assets</t>
  </si>
  <si>
    <t>(1,4) Other operating current liabilities</t>
  </si>
  <si>
    <t>(1,4) Operating net working capital</t>
  </si>
  <si>
    <t>(1,4) Change in net working capital</t>
  </si>
  <si>
    <t>(1,4) Net profit (forecast: NOPAT + after-tax net finance income)</t>
  </si>
  <si>
    <t>(1,4) Employee and board distributions</t>
  </si>
  <si>
    <t>(1,4) Free cash flow to the firm (FCFF)</t>
  </si>
  <si>
    <t>(1,4) Present value of FCFF</t>
  </si>
  <si>
    <t>(1,4) Sum of present values</t>
  </si>
  <si>
    <t>(1,4) Terminal value</t>
  </si>
  <si>
    <t>(1,4) Enterprise value</t>
  </si>
  <si>
    <t>(1,4) Equity value</t>
  </si>
  <si>
    <t>(1,4) Value per share</t>
  </si>
  <si>
    <t>Cell (1,5): revenue growth delta | gross margin delta</t>
  </si>
  <si>
    <t>(1,5) Revenue</t>
  </si>
  <si>
    <t>(1,5) Gross profit before D&amp;A</t>
  </si>
  <si>
    <t>(1,5) SG&amp;A</t>
  </si>
  <si>
    <t>(1,5) Other operating income (net)</t>
  </si>
  <si>
    <t>(1,5) EBITDA</t>
  </si>
  <si>
    <t>(1,5) Opening PP&amp;E</t>
  </si>
  <si>
    <t>(1,5) Depreciation</t>
  </si>
  <si>
    <t>(1,5) Amortization</t>
  </si>
  <si>
    <t>(1,5) D&amp;A</t>
  </si>
  <si>
    <t>(1,5) Capex</t>
  </si>
  <si>
    <t>(1,5) Closing PP&amp;E</t>
  </si>
  <si>
    <t>(1,5) EBIT</t>
  </si>
  <si>
    <t>(1,5) Tax rate on EBIT</t>
  </si>
  <si>
    <t>(1,5) Tax on EBIT</t>
  </si>
  <si>
    <t>(1,5) NOPAT</t>
  </si>
  <si>
    <t>(1,5) Cash cost of sales</t>
  </si>
  <si>
    <t>(1,5) Accounts receivable</t>
  </si>
  <si>
    <t>(1,5) Inventory</t>
  </si>
  <si>
    <t>(1,5) Trade payables</t>
  </si>
  <si>
    <t>(1,5) Other operating current assets</t>
  </si>
  <si>
    <t>(1,5) Other operating current liabilities</t>
  </si>
  <si>
    <t>(1,5) Operating net working capital</t>
  </si>
  <si>
    <t>(1,5) Change in net working capital</t>
  </si>
  <si>
    <t>(1,5) Net profit (forecast: NOPAT + after-tax net finance income)</t>
  </si>
  <si>
    <t>(1,5) Employee and board distributions</t>
  </si>
  <si>
    <t>(1,5) Free cash flow to the firm (FCFF)</t>
  </si>
  <si>
    <t>(1,5) Present value of FCFF</t>
  </si>
  <si>
    <t>(1,5) Sum of present values</t>
  </si>
  <si>
    <t>(1,5) Terminal value</t>
  </si>
  <si>
    <t>(1,5) Enterprise value</t>
  </si>
  <si>
    <t>(1,5) Equity value</t>
  </si>
  <si>
    <t>(1,5) Value per share</t>
  </si>
  <si>
    <t>Cell (2,1): revenue growth delta | gross margin delta</t>
  </si>
  <si>
    <t>(2,1) Revenue</t>
  </si>
  <si>
    <t>(2,1) Gross profit before D&amp;A</t>
  </si>
  <si>
    <t>(2,1) SG&amp;A</t>
  </si>
  <si>
    <t>(2,1) Other operating income (net)</t>
  </si>
  <si>
    <t>(2,1) EBITDA</t>
  </si>
  <si>
    <t>(2,1) Opening PP&amp;E</t>
  </si>
  <si>
    <t>(2,1) Depreciation</t>
  </si>
  <si>
    <t>(2,1) Amortization</t>
  </si>
  <si>
    <t>(2,1) D&amp;A</t>
  </si>
  <si>
    <t>(2,1) Capex</t>
  </si>
  <si>
    <t>(2,1) Closing PP&amp;E</t>
  </si>
  <si>
    <t>(2,1) EBIT</t>
  </si>
  <si>
    <t>(2,1) Tax rate on EBIT</t>
  </si>
  <si>
    <t>(2,1) Tax on EBIT</t>
  </si>
  <si>
    <t>(2,1) NOPAT</t>
  </si>
  <si>
    <t>(2,1) Cash cost of sales</t>
  </si>
  <si>
    <t>(2,1) Accounts receivable</t>
  </si>
  <si>
    <t>(2,1) Inventory</t>
  </si>
  <si>
    <t>(2,1) Trade payables</t>
  </si>
  <si>
    <t>(2,1) Other operating current assets</t>
  </si>
  <si>
    <t>(2,1) Other operating current liabilities</t>
  </si>
  <si>
    <t>(2,1) Operating net working capital</t>
  </si>
  <si>
    <t>(2,1) Change in net working capital</t>
  </si>
  <si>
    <t>(2,1) Net profit (forecast: NOPAT + after-tax net finance income)</t>
  </si>
  <si>
    <t>(2,1) Employee and board distributions</t>
  </si>
  <si>
    <t>(2,1) Free cash flow to the firm (FCFF)</t>
  </si>
  <si>
    <t>(2,1) Present value of FCFF</t>
  </si>
  <si>
    <t>(2,1) Sum of present values</t>
  </si>
  <si>
    <t>(2,1) Terminal value</t>
  </si>
  <si>
    <t>(2,1) Enterprise value</t>
  </si>
  <si>
    <t>(2,1) Equity value</t>
  </si>
  <si>
    <t>(2,1) Value per share</t>
  </si>
  <si>
    <t>Cell (2,2): revenue growth delta | gross margin delta</t>
  </si>
  <si>
    <t>(2,2) Revenue</t>
  </si>
  <si>
    <t>(2,2) Gross profit before D&amp;A</t>
  </si>
  <si>
    <t>(2,2) SG&amp;A</t>
  </si>
  <si>
    <t>(2,2) Other operating income (net)</t>
  </si>
  <si>
    <t>(2,2) EBITDA</t>
  </si>
  <si>
    <t>(2,2) Opening PP&amp;E</t>
  </si>
  <si>
    <t>(2,2) Depreciation</t>
  </si>
  <si>
    <t>(2,2) Amortization</t>
  </si>
  <si>
    <t>(2,2) D&amp;A</t>
  </si>
  <si>
    <t>(2,2) Capex</t>
  </si>
  <si>
    <t>(2,2) Closing PP&amp;E</t>
  </si>
  <si>
    <t>(2,2) EBIT</t>
  </si>
  <si>
    <t>(2,2) Tax rate on EBIT</t>
  </si>
  <si>
    <t>(2,2) Tax on EBIT</t>
  </si>
  <si>
    <t>(2,2) NOPAT</t>
  </si>
  <si>
    <t>(2,2) Cash cost of sales</t>
  </si>
  <si>
    <t>(2,2) Accounts receivable</t>
  </si>
  <si>
    <t>(2,2) Inventory</t>
  </si>
  <si>
    <t>(2,2) Trade payables</t>
  </si>
  <si>
    <t>(2,2) Other operating current assets</t>
  </si>
  <si>
    <t>(2,2) Other operating current liabilities</t>
  </si>
  <si>
    <t>(2,2) Operating net working capital</t>
  </si>
  <si>
    <t>(2,2) Change in net working capital</t>
  </si>
  <si>
    <t>(2,2) Net profit (forecast: NOPAT + after-tax net finance income)</t>
  </si>
  <si>
    <t>(2,2) Employee and board distributions</t>
  </si>
  <si>
    <t>(2,2) Free cash flow to the firm (FCFF)</t>
  </si>
  <si>
    <t>(2,2) Present value of FCFF</t>
  </si>
  <si>
    <t>(2,2) Sum of present values</t>
  </si>
  <si>
    <t>(2,2) Terminal value</t>
  </si>
  <si>
    <t>(2,2) Enterprise value</t>
  </si>
  <si>
    <t>(2,2) Equity value</t>
  </si>
  <si>
    <t>(2,2) Value per share</t>
  </si>
  <si>
    <t>Cell (2,3): revenue growth delta | gross margin delta</t>
  </si>
  <si>
    <t>(2,3) Revenue</t>
  </si>
  <si>
    <t>(2,3) Gross profit before D&amp;A</t>
  </si>
  <si>
    <t>(2,3) SG&amp;A</t>
  </si>
  <si>
    <t>(2,3) Other operating income (net)</t>
  </si>
  <si>
    <t>(2,3) EBITDA</t>
  </si>
  <si>
    <t>(2,3) Opening PP&amp;E</t>
  </si>
  <si>
    <t>(2,3) Depreciation</t>
  </si>
  <si>
    <t>(2,3) Amortization</t>
  </si>
  <si>
    <t>(2,3) D&amp;A</t>
  </si>
  <si>
    <t>(2,3) Capex</t>
  </si>
  <si>
    <t>(2,3) Closing PP&amp;E</t>
  </si>
  <si>
    <t>(2,3) EBIT</t>
  </si>
  <si>
    <t>(2,3) Tax rate on EBIT</t>
  </si>
  <si>
    <t>(2,3) Tax on EBIT</t>
  </si>
  <si>
    <t>(2,3) NOPAT</t>
  </si>
  <si>
    <t>(2,3) Cash cost of sales</t>
  </si>
  <si>
    <t>(2,3) Accounts receivable</t>
  </si>
  <si>
    <t>(2,3) Inventory</t>
  </si>
  <si>
    <t>(2,3) Trade payables</t>
  </si>
  <si>
    <t>(2,3) Other operating current assets</t>
  </si>
  <si>
    <t>(2,3) Other operating current liabilities</t>
  </si>
  <si>
    <t>(2,3) Operating net working capital</t>
  </si>
  <si>
    <t>(2,3) Change in net working capital</t>
  </si>
  <si>
    <t>(2,3) Net profit (forecast: NOPAT + after-tax net finance income)</t>
  </si>
  <si>
    <t>(2,3) Employee and board distributions</t>
  </si>
  <si>
    <t>(2,3) Free cash flow to the firm (FCFF)</t>
  </si>
  <si>
    <t>(2,3) Present value of FCFF</t>
  </si>
  <si>
    <t>(2,3) Sum of present values</t>
  </si>
  <si>
    <t>(2,3) Terminal value</t>
  </si>
  <si>
    <t>(2,3) Enterprise value</t>
  </si>
  <si>
    <t>(2,3) Equity value</t>
  </si>
  <si>
    <t>(2,3) Value per share</t>
  </si>
  <si>
    <t>Cell (2,4): revenue growth delta | gross margin delta</t>
  </si>
  <si>
    <t>(2,4) Revenue</t>
  </si>
  <si>
    <t>(2,4) Gross profit before D&amp;A</t>
  </si>
  <si>
    <t>(2,4) SG&amp;A</t>
  </si>
  <si>
    <t>(2,4) Other operating income (net)</t>
  </si>
  <si>
    <t>(2,4) EBITDA</t>
  </si>
  <si>
    <t>(2,4) Opening PP&amp;E</t>
  </si>
  <si>
    <t>(2,4) Depreciation</t>
  </si>
  <si>
    <t>(2,4) Amortization</t>
  </si>
  <si>
    <t>(2,4) D&amp;A</t>
  </si>
  <si>
    <t>(2,4) Capex</t>
  </si>
  <si>
    <t>(2,4) Closing PP&amp;E</t>
  </si>
  <si>
    <t>(2,4) EBIT</t>
  </si>
  <si>
    <t>(2,4) Tax rate on EBIT</t>
  </si>
  <si>
    <t>(2,4) Tax on EBIT</t>
  </si>
  <si>
    <t>(2,4) NOPAT</t>
  </si>
  <si>
    <t>(2,4) Cash cost of sales</t>
  </si>
  <si>
    <t>(2,4) Accounts receivable</t>
  </si>
  <si>
    <t>(2,4) Inventory</t>
  </si>
  <si>
    <t>(2,4) Trade payables</t>
  </si>
  <si>
    <t>(2,4) Other operating current assets</t>
  </si>
  <si>
    <t>(2,4) Other operating current liabilities</t>
  </si>
  <si>
    <t>(2,4) Operating net working capital</t>
  </si>
  <si>
    <t>(2,4) Change in net working capital</t>
  </si>
  <si>
    <t>(2,4) Net profit (forecast: NOPAT + after-tax net finance income)</t>
  </si>
  <si>
    <t>(2,4) Employee and board distributions</t>
  </si>
  <si>
    <t>(2,4) Free cash flow to the firm (FCFF)</t>
  </si>
  <si>
    <t>(2,4) Present value of FCFF</t>
  </si>
  <si>
    <t>(2,4) Sum of present values</t>
  </si>
  <si>
    <t>(2,4) Terminal value</t>
  </si>
  <si>
    <t>(2,4) Enterprise value</t>
  </si>
  <si>
    <t>(2,4) Equity value</t>
  </si>
  <si>
    <t>(2,4) Value per share</t>
  </si>
  <si>
    <t>Cell (2,5): revenue growth delta | gross margin delta</t>
  </si>
  <si>
    <t>(2,5) Revenue</t>
  </si>
  <si>
    <t>(2,5) Gross profit before D&amp;A</t>
  </si>
  <si>
    <t>(2,5) SG&amp;A</t>
  </si>
  <si>
    <t>(2,5) Other operating income (net)</t>
  </si>
  <si>
    <t>(2,5) EBITDA</t>
  </si>
  <si>
    <t>(2,5) Opening PP&amp;E</t>
  </si>
  <si>
    <t>(2,5) Depreciation</t>
  </si>
  <si>
    <t>(2,5) Amortization</t>
  </si>
  <si>
    <t>(2,5) D&amp;A</t>
  </si>
  <si>
    <t>(2,5) Capex</t>
  </si>
  <si>
    <t>(2,5) Closing PP&amp;E</t>
  </si>
  <si>
    <t>(2,5) EBIT</t>
  </si>
  <si>
    <t>(2,5) Tax rate on EBIT</t>
  </si>
  <si>
    <t>(2,5) Tax on EBIT</t>
  </si>
  <si>
    <t>(2,5) NOPAT</t>
  </si>
  <si>
    <t>(2,5) Cash cost of sales</t>
  </si>
  <si>
    <t>(2,5) Accounts receivable</t>
  </si>
  <si>
    <t>(2,5) Inventory</t>
  </si>
  <si>
    <t>(2,5) Trade payables</t>
  </si>
  <si>
    <t>(2,5) Other operating current assets</t>
  </si>
  <si>
    <t>(2,5) Other operating current liabilities</t>
  </si>
  <si>
    <t>(2,5) Operating net working capital</t>
  </si>
  <si>
    <t>(2,5) Change in net working capital</t>
  </si>
  <si>
    <t>(2,5) Net profit (forecast: NOPAT + after-tax net finance income)</t>
  </si>
  <si>
    <t>(2,5) Employee and board distributions</t>
  </si>
  <si>
    <t>(2,5) Free cash flow to the firm (FCFF)</t>
  </si>
  <si>
    <t>(2,5) Present value of FCFF</t>
  </si>
  <si>
    <t>(2,5) Sum of present values</t>
  </si>
  <si>
    <t>(2,5) Terminal value</t>
  </si>
  <si>
    <t>(2,5) Enterprise value</t>
  </si>
  <si>
    <t>(2,5) Equity value</t>
  </si>
  <si>
    <t>(2,5) Value per share</t>
  </si>
  <si>
    <t>Cell (3,1): revenue growth delta | gross margin delta</t>
  </si>
  <si>
    <t>(3,1) Revenue</t>
  </si>
  <si>
    <t>(3,1) Gross profit before D&amp;A</t>
  </si>
  <si>
    <t>(3,1) SG&amp;A</t>
  </si>
  <si>
    <t>(3,1) Other operating income (net)</t>
  </si>
  <si>
    <t>(3,1) EBITDA</t>
  </si>
  <si>
    <t>(3,1) Opening PP&amp;E</t>
  </si>
  <si>
    <t>(3,1) Depreciation</t>
  </si>
  <si>
    <t>(3,1) Amortization</t>
  </si>
  <si>
    <t>(3,1) D&amp;A</t>
  </si>
  <si>
    <t>(3,1) Capex</t>
  </si>
  <si>
    <t>(3,1) Closing PP&amp;E</t>
  </si>
  <si>
    <t>(3,1) EBIT</t>
  </si>
  <si>
    <t>(3,1) Tax rate on EBIT</t>
  </si>
  <si>
    <t>(3,1) Tax on EBIT</t>
  </si>
  <si>
    <t>(3,1) NOPAT</t>
  </si>
  <si>
    <t>(3,1) Cash cost of sales</t>
  </si>
  <si>
    <t>(3,1) Accounts receivable</t>
  </si>
  <si>
    <t>(3,1) Inventory</t>
  </si>
  <si>
    <t>(3,1) Trade payables</t>
  </si>
  <si>
    <t>(3,1) Other operating current assets</t>
  </si>
  <si>
    <t>(3,1) Other operating current liabilities</t>
  </si>
  <si>
    <t>(3,1) Operating net working capital</t>
  </si>
  <si>
    <t>(3,1) Change in net working capital</t>
  </si>
  <si>
    <t>(3,1) Net profit (forecast: NOPAT + after-tax net finance income)</t>
  </si>
  <si>
    <t>(3,1) Employee and board distributions</t>
  </si>
  <si>
    <t>(3,1) Free cash flow to the firm (FCFF)</t>
  </si>
  <si>
    <t>(3,1) Present value of FCFF</t>
  </si>
  <si>
    <t>(3,1) Sum of present values</t>
  </si>
  <si>
    <t>(3,1) Terminal value</t>
  </si>
  <si>
    <t>(3,1) Enterprise value</t>
  </si>
  <si>
    <t>(3,1) Equity value</t>
  </si>
  <si>
    <t>(3,1) Value per share</t>
  </si>
  <si>
    <t>Cell (3,2): revenue growth delta | gross margin delta</t>
  </si>
  <si>
    <t>(3,2) Revenue</t>
  </si>
  <si>
    <t>(3,2) Gross profit before D&amp;A</t>
  </si>
  <si>
    <t>(3,2) SG&amp;A</t>
  </si>
  <si>
    <t>(3,2) Other operating income (net)</t>
  </si>
  <si>
    <t>(3,2) EBITDA</t>
  </si>
  <si>
    <t>(3,2) Opening PP&amp;E</t>
  </si>
  <si>
    <t>(3,2) Depreciation</t>
  </si>
  <si>
    <t>(3,2) Amortization</t>
  </si>
  <si>
    <t>(3,2) D&amp;A</t>
  </si>
  <si>
    <t>(3,2) Capex</t>
  </si>
  <si>
    <t>(3,2) Closing PP&amp;E</t>
  </si>
  <si>
    <t>(3,2) EBIT</t>
  </si>
  <si>
    <t>(3,2) Tax rate on EBIT</t>
  </si>
  <si>
    <t>(3,2) Tax on EBIT</t>
  </si>
  <si>
    <t>(3,2) NOPAT</t>
  </si>
  <si>
    <t>(3,2) Cash cost of sales</t>
  </si>
  <si>
    <t>(3,2) Accounts receivable</t>
  </si>
  <si>
    <t>(3,2) Inventory</t>
  </si>
  <si>
    <t>(3,2) Trade payables</t>
  </si>
  <si>
    <t>(3,2) Other operating current assets</t>
  </si>
  <si>
    <t>(3,2) Other operating current liabilities</t>
  </si>
  <si>
    <t>(3,2) Operating net working capital</t>
  </si>
  <si>
    <t>(3,2) Change in net working capital</t>
  </si>
  <si>
    <t>(3,2) Net profit (forecast: NOPAT + after-tax net finance income)</t>
  </si>
  <si>
    <t>(3,2) Employee and board distributions</t>
  </si>
  <si>
    <t>(3,2) Free cash flow to the firm (FCFF)</t>
  </si>
  <si>
    <t>(3,2) Present value of FCFF</t>
  </si>
  <si>
    <t>(3,2) Sum of present values</t>
  </si>
  <si>
    <t>(3,2) Terminal value</t>
  </si>
  <si>
    <t>(3,2) Enterprise value</t>
  </si>
  <si>
    <t>(3,2) Equity value</t>
  </si>
  <si>
    <t>(3,2) Value per share</t>
  </si>
  <si>
    <t>Cell (3,3): revenue growth delta | gross margin delta</t>
  </si>
  <si>
    <t>(3,3) Revenue</t>
  </si>
  <si>
    <t>(3,3) Gross profit before D&amp;A</t>
  </si>
  <si>
    <t>(3,3) SG&amp;A</t>
  </si>
  <si>
    <t>(3,3) Other operating income (net)</t>
  </si>
  <si>
    <t>(3,3) EBITDA</t>
  </si>
  <si>
    <t>(3,3) Opening PP&amp;E</t>
  </si>
  <si>
    <t>(3,3) Depreciation</t>
  </si>
  <si>
    <t>(3,3) Amortization</t>
  </si>
  <si>
    <t>(3,3) D&amp;A</t>
  </si>
  <si>
    <t>(3,3) Capex</t>
  </si>
  <si>
    <t>(3,3) Closing PP&amp;E</t>
  </si>
  <si>
    <t>(3,3) EBIT</t>
  </si>
  <si>
    <t>(3,3) Tax rate on EBIT</t>
  </si>
  <si>
    <t>(3,3) Tax on EBIT</t>
  </si>
  <si>
    <t>(3,3) NOPAT</t>
  </si>
  <si>
    <t>(3,3) Cash cost of sales</t>
  </si>
  <si>
    <t>(3,3) Accounts receivable</t>
  </si>
  <si>
    <t>(3,3) Inventory</t>
  </si>
  <si>
    <t>(3,3) Trade payables</t>
  </si>
  <si>
    <t>(3,3) Other operating current assets</t>
  </si>
  <si>
    <t>(3,3) Other operating current liabilities</t>
  </si>
  <si>
    <t>(3,3) Operating net working capital</t>
  </si>
  <si>
    <t>(3,3) Change in net working capital</t>
  </si>
  <si>
    <t>(3,3) Net profit (forecast: NOPAT + after-tax net finance income)</t>
  </si>
  <si>
    <t>(3,3) Employee and board distributions</t>
  </si>
  <si>
    <t>(3,3) Free cash flow to the firm (FCFF)</t>
  </si>
  <si>
    <t>(3,3) Present value of FCFF</t>
  </si>
  <si>
    <t>(3,3) Sum of present values</t>
  </si>
  <si>
    <t>(3,3) Terminal value</t>
  </si>
  <si>
    <t>(3,3) Enterprise value</t>
  </si>
  <si>
    <t>(3,3) Equity value</t>
  </si>
  <si>
    <t>(3,3) Value per share</t>
  </si>
  <si>
    <t>Cell (3,4): revenue growth delta | gross margin delta</t>
  </si>
  <si>
    <t>(3,4) Revenue</t>
  </si>
  <si>
    <t>(3,4) Gross profit before D&amp;A</t>
  </si>
  <si>
    <t>(3,4) SG&amp;A</t>
  </si>
  <si>
    <t>(3,4) Other operating income (net)</t>
  </si>
  <si>
    <t>(3,4) EBITDA</t>
  </si>
  <si>
    <t>(3,4) Opening PP&amp;E</t>
  </si>
  <si>
    <t>(3,4) Depreciation</t>
  </si>
  <si>
    <t>(3,4) Amortization</t>
  </si>
  <si>
    <t>(3,4) D&amp;A</t>
  </si>
  <si>
    <t>(3,4) Capex</t>
  </si>
  <si>
    <t>(3,4) Closing PP&amp;E</t>
  </si>
  <si>
    <t>(3,4) EBIT</t>
  </si>
  <si>
    <t>(3,4) Tax rate on EBIT</t>
  </si>
  <si>
    <t>(3,4) Tax on EBIT</t>
  </si>
  <si>
    <t>(3,4) NOPAT</t>
  </si>
  <si>
    <t>(3,4) Cash cost of sales</t>
  </si>
  <si>
    <t>(3,4) Accounts receivable</t>
  </si>
  <si>
    <t>(3,4) Inventory</t>
  </si>
  <si>
    <t>(3,4) Trade payables</t>
  </si>
  <si>
    <t>(3,4) Other operating current assets</t>
  </si>
  <si>
    <t>(3,4) Other operating current liabilities</t>
  </si>
  <si>
    <t>(3,4) Operating net working capital</t>
  </si>
  <si>
    <t>(3,4) Change in net working capital</t>
  </si>
  <si>
    <t>(3,4) Net profit (forecast: NOPAT + after-tax net finance income)</t>
  </si>
  <si>
    <t>(3,4) Employee and board distributions</t>
  </si>
  <si>
    <t>(3,4) Free cash flow to the firm (FCFF)</t>
  </si>
  <si>
    <t>(3,4) Present value of FCFF</t>
  </si>
  <si>
    <t>(3,4) Sum of present values</t>
  </si>
  <si>
    <t>(3,4) Terminal value</t>
  </si>
  <si>
    <t>(3,4) Enterprise value</t>
  </si>
  <si>
    <t>(3,4) Equity value</t>
  </si>
  <si>
    <t>(3,4) Value per share</t>
  </si>
  <si>
    <t>Cell (3,5): revenue growth delta | gross margin delta</t>
  </si>
  <si>
    <t>(3,5) Revenue</t>
  </si>
  <si>
    <t>(3,5) Gross profit before D&amp;A</t>
  </si>
  <si>
    <t>(3,5) SG&amp;A</t>
  </si>
  <si>
    <t>(3,5) Other operating income (net)</t>
  </si>
  <si>
    <t>(3,5) EBITDA</t>
  </si>
  <si>
    <t>(3,5) Opening PP&amp;E</t>
  </si>
  <si>
    <t>(3,5) Depreciation</t>
  </si>
  <si>
    <t>(3,5) Amortization</t>
  </si>
  <si>
    <t>(3,5) D&amp;A</t>
  </si>
  <si>
    <t>(3,5) Capex</t>
  </si>
  <si>
    <t>(3,5) Closing PP&amp;E</t>
  </si>
  <si>
    <t>(3,5) EBIT</t>
  </si>
  <si>
    <t>(3,5) Tax rate on EBIT</t>
  </si>
  <si>
    <t>(3,5) Tax on EBIT</t>
  </si>
  <si>
    <t>(3,5) NOPAT</t>
  </si>
  <si>
    <t>(3,5) Cash cost of sales</t>
  </si>
  <si>
    <t>(3,5) Accounts receivable</t>
  </si>
  <si>
    <t>(3,5) Inventory</t>
  </si>
  <si>
    <t>(3,5) Trade payables</t>
  </si>
  <si>
    <t>(3,5) Other operating current assets</t>
  </si>
  <si>
    <t>(3,5) Other operating current liabilities</t>
  </si>
  <si>
    <t>(3,5) Operating net working capital</t>
  </si>
  <si>
    <t>(3,5) Change in net working capital</t>
  </si>
  <si>
    <t>(3,5) Net profit (forecast: NOPAT + after-tax net finance income)</t>
  </si>
  <si>
    <t>(3,5) Employee and board distributions</t>
  </si>
  <si>
    <t>(3,5) Free cash flow to the firm (FCFF)</t>
  </si>
  <si>
    <t>(3,5) Present value of FCFF</t>
  </si>
  <si>
    <t>(3,5) Sum of present values</t>
  </si>
  <si>
    <t>(3,5) Terminal value</t>
  </si>
  <si>
    <t>(3,5) Enterprise value</t>
  </si>
  <si>
    <t>(3,5) Equity value</t>
  </si>
  <si>
    <t>(3,5) Value per share</t>
  </si>
  <si>
    <t>Cell (4,1): revenue growth delta | gross margin delta</t>
  </si>
  <si>
    <t>(4,1) Revenue</t>
  </si>
  <si>
    <t>(4,1) Gross profit before D&amp;A</t>
  </si>
  <si>
    <t>(4,1) SG&amp;A</t>
  </si>
  <si>
    <t>(4,1) Other operating income (net)</t>
  </si>
  <si>
    <t>(4,1) EBITDA</t>
  </si>
  <si>
    <t>(4,1) Opening PP&amp;E</t>
  </si>
  <si>
    <t>(4,1) Depreciation</t>
  </si>
  <si>
    <t>(4,1) Amortization</t>
  </si>
  <si>
    <t>(4,1) D&amp;A</t>
  </si>
  <si>
    <t>(4,1) Capex</t>
  </si>
  <si>
    <t>(4,1) Closing PP&amp;E</t>
  </si>
  <si>
    <t>(4,1) EBIT</t>
  </si>
  <si>
    <t>(4,1) Tax rate on EBIT</t>
  </si>
  <si>
    <t>(4,1) Tax on EBIT</t>
  </si>
  <si>
    <t>(4,1) NOPAT</t>
  </si>
  <si>
    <t>(4,1) Cash cost of sales</t>
  </si>
  <si>
    <t>(4,1) Accounts receivable</t>
  </si>
  <si>
    <t>(4,1) Inventory</t>
  </si>
  <si>
    <t>(4,1) Trade payables</t>
  </si>
  <si>
    <t>(4,1) Other operating current assets</t>
  </si>
  <si>
    <t>(4,1) Other operating current liabilities</t>
  </si>
  <si>
    <t>(4,1) Operating net working capital</t>
  </si>
  <si>
    <t>(4,1) Change in net working capital</t>
  </si>
  <si>
    <t>(4,1) Net profit (forecast: NOPAT + after-tax net finance income)</t>
  </si>
  <si>
    <t>(4,1) Employee and board distributions</t>
  </si>
  <si>
    <t>(4,1) Free cash flow to the firm (FCFF)</t>
  </si>
  <si>
    <t>(4,1) Present value of FCFF</t>
  </si>
  <si>
    <t>(4,1) Sum of present values</t>
  </si>
  <si>
    <t>(4,1) Terminal value</t>
  </si>
  <si>
    <t>(4,1) Enterprise value</t>
  </si>
  <si>
    <t>(4,1) Equity value</t>
  </si>
  <si>
    <t>(4,1) Value per share</t>
  </si>
  <si>
    <t>Cell (4,2): revenue growth delta | gross margin delta</t>
  </si>
  <si>
    <t>(4,2) Revenue</t>
  </si>
  <si>
    <t>(4,2) Gross profit before D&amp;A</t>
  </si>
  <si>
    <t>(4,2) SG&amp;A</t>
  </si>
  <si>
    <t>(4,2) Other operating income (net)</t>
  </si>
  <si>
    <t>(4,2) EBITDA</t>
  </si>
  <si>
    <t>(4,2) Opening PP&amp;E</t>
  </si>
  <si>
    <t>(4,2) Depreciation</t>
  </si>
  <si>
    <t>(4,2) Amortization</t>
  </si>
  <si>
    <t>(4,2) D&amp;A</t>
  </si>
  <si>
    <t>(4,2) Capex</t>
  </si>
  <si>
    <t>(4,2) Closing PP&amp;E</t>
  </si>
  <si>
    <t>(4,2) EBIT</t>
  </si>
  <si>
    <t>(4,2) Tax rate on EBIT</t>
  </si>
  <si>
    <t>(4,2) Tax on EBIT</t>
  </si>
  <si>
    <t>(4,2) NOPAT</t>
  </si>
  <si>
    <t>(4,2) Cash cost of sales</t>
  </si>
  <si>
    <t>(4,2) Accounts receivable</t>
  </si>
  <si>
    <t>(4,2) Inventory</t>
  </si>
  <si>
    <t>(4,2) Trade payables</t>
  </si>
  <si>
    <t>(4,2) Other operating current assets</t>
  </si>
  <si>
    <t>(4,2) Other operating current liabilities</t>
  </si>
  <si>
    <t>(4,2) Operating net working capital</t>
  </si>
  <si>
    <t>(4,2) Change in net working capital</t>
  </si>
  <si>
    <t>(4,2) Net profit (forecast: NOPAT + after-tax net finance income)</t>
  </si>
  <si>
    <t>(4,2) Employee and board distributions</t>
  </si>
  <si>
    <t>(4,2) Free cash flow to the firm (FCFF)</t>
  </si>
  <si>
    <t>(4,2) Present value of FCFF</t>
  </si>
  <si>
    <t>(4,2) Sum of present values</t>
  </si>
  <si>
    <t>(4,2) Terminal value</t>
  </si>
  <si>
    <t>(4,2) Enterprise value</t>
  </si>
  <si>
    <t>(4,2) Equity value</t>
  </si>
  <si>
    <t>(4,2) Value per share</t>
  </si>
  <si>
    <t>Cell (4,3): revenue growth delta | gross margin delta</t>
  </si>
  <si>
    <t>(4,3) Revenue</t>
  </si>
  <si>
    <t>(4,3) Gross profit before D&amp;A</t>
  </si>
  <si>
    <t>(4,3) SG&amp;A</t>
  </si>
  <si>
    <t>(4,3) Other operating income (net)</t>
  </si>
  <si>
    <t>(4,3) EBITDA</t>
  </si>
  <si>
    <t>(4,3) Opening PP&amp;E</t>
  </si>
  <si>
    <t>(4,3) Depreciation</t>
  </si>
  <si>
    <t>(4,3) Amortization</t>
  </si>
  <si>
    <t>(4,3) D&amp;A</t>
  </si>
  <si>
    <t>(4,3) Capex</t>
  </si>
  <si>
    <t>(4,3) Closing PP&amp;E</t>
  </si>
  <si>
    <t>(4,3) EBIT</t>
  </si>
  <si>
    <t>(4,3) Tax rate on EBIT</t>
  </si>
  <si>
    <t>(4,3) Tax on EBIT</t>
  </si>
  <si>
    <t>(4,3) NOPAT</t>
  </si>
  <si>
    <t>(4,3) Cash cost of sales</t>
  </si>
  <si>
    <t>(4,3) Accounts receivable</t>
  </si>
  <si>
    <t>(4,3) Inventory</t>
  </si>
  <si>
    <t>(4,3) Trade payables</t>
  </si>
  <si>
    <t>(4,3) Other operating current assets</t>
  </si>
  <si>
    <t>(4,3) Other operating current liabilities</t>
  </si>
  <si>
    <t>(4,3) Operating net working capital</t>
  </si>
  <si>
    <t>(4,3) Change in net working capital</t>
  </si>
  <si>
    <t>(4,3) Net profit (forecast: NOPAT + after-tax net finance income)</t>
  </si>
  <si>
    <t>(4,3) Employee and board distributions</t>
  </si>
  <si>
    <t>(4,3) Free cash flow to the firm (FCFF)</t>
  </si>
  <si>
    <t>(4,3) Present value of FCFF</t>
  </si>
  <si>
    <t>(4,3) Sum of present values</t>
  </si>
  <si>
    <t>(4,3) Terminal value</t>
  </si>
  <si>
    <t>(4,3) Enterprise value</t>
  </si>
  <si>
    <t>(4,3) Equity value</t>
  </si>
  <si>
    <t>(4,3) Value per share</t>
  </si>
  <si>
    <t>Cell (4,4): revenue growth delta | gross margin delta</t>
  </si>
  <si>
    <t>(4,4) Revenue</t>
  </si>
  <si>
    <t>(4,4) Gross profit before D&amp;A</t>
  </si>
  <si>
    <t>(4,4) SG&amp;A</t>
  </si>
  <si>
    <t>(4,4) Other operating income (net)</t>
  </si>
  <si>
    <t>(4,4) EBITDA</t>
  </si>
  <si>
    <t>(4,4) Opening PP&amp;E</t>
  </si>
  <si>
    <t>(4,4) Depreciation</t>
  </si>
  <si>
    <t>(4,4) Amortization</t>
  </si>
  <si>
    <t>(4,4) D&amp;A</t>
  </si>
  <si>
    <t>(4,4) Capex</t>
  </si>
  <si>
    <t>(4,4) Closing PP&amp;E</t>
  </si>
  <si>
    <t>(4,4) EBIT</t>
  </si>
  <si>
    <t>(4,4) Tax rate on EBIT</t>
  </si>
  <si>
    <t>(4,4) Tax on EBIT</t>
  </si>
  <si>
    <t>(4,4) NOPAT</t>
  </si>
  <si>
    <t>(4,4) Cash cost of sales</t>
  </si>
  <si>
    <t>(4,4) Accounts receivable</t>
  </si>
  <si>
    <t>(4,4) Inventory</t>
  </si>
  <si>
    <t>(4,4) Trade payables</t>
  </si>
  <si>
    <t>(4,4) Other operating current assets</t>
  </si>
  <si>
    <t>(4,4) Other operating current liabilities</t>
  </si>
  <si>
    <t>(4,4) Operating net working capital</t>
  </si>
  <si>
    <t>(4,4) Change in net working capital</t>
  </si>
  <si>
    <t>(4,4) Net profit (forecast: NOPAT + after-tax net finance income)</t>
  </si>
  <si>
    <t>(4,4) Employee and board distributions</t>
  </si>
  <si>
    <t>(4,4) Free cash flow to the firm (FCFF)</t>
  </si>
  <si>
    <t>(4,4) Present value of FCFF</t>
  </si>
  <si>
    <t>(4,4) Sum of present values</t>
  </si>
  <si>
    <t>(4,4) Terminal value</t>
  </si>
  <si>
    <t>(4,4) Enterprise value</t>
  </si>
  <si>
    <t>(4,4) Equity value</t>
  </si>
  <si>
    <t>(4,4) Value per share</t>
  </si>
  <si>
    <t>Cell (4,5): revenue growth delta | gross margin delta</t>
  </si>
  <si>
    <t>(4,5) Revenue</t>
  </si>
  <si>
    <t>(4,5) Gross profit before D&amp;A</t>
  </si>
  <si>
    <t>(4,5) SG&amp;A</t>
  </si>
  <si>
    <t>(4,5) Other operating income (net)</t>
  </si>
  <si>
    <t>(4,5) EBITDA</t>
  </si>
  <si>
    <t>(4,5) Opening PP&amp;E</t>
  </si>
  <si>
    <t>(4,5) Depreciation</t>
  </si>
  <si>
    <t>(4,5) Amortization</t>
  </si>
  <si>
    <t>(4,5) D&amp;A</t>
  </si>
  <si>
    <t>(4,5) Capex</t>
  </si>
  <si>
    <t>(4,5) Closing PP&amp;E</t>
  </si>
  <si>
    <t>(4,5) EBIT</t>
  </si>
  <si>
    <t>(4,5) Tax rate on EBIT</t>
  </si>
  <si>
    <t>(4,5) Tax on EBIT</t>
  </si>
  <si>
    <t>(4,5) NOPAT</t>
  </si>
  <si>
    <t>(4,5) Cash cost of sales</t>
  </si>
  <si>
    <t>(4,5) Accounts receivable</t>
  </si>
  <si>
    <t>(4,5) Inventory</t>
  </si>
  <si>
    <t>(4,5) Trade payables</t>
  </si>
  <si>
    <t>(4,5) Other operating current assets</t>
  </si>
  <si>
    <t>(4,5) Other operating current liabilities</t>
  </si>
  <si>
    <t>(4,5) Operating net working capital</t>
  </si>
  <si>
    <t>(4,5) Change in net working capital</t>
  </si>
  <si>
    <t>(4,5) Net profit (forecast: NOPAT + after-tax net finance income)</t>
  </si>
  <si>
    <t>(4,5) Employee and board distributions</t>
  </si>
  <si>
    <t>(4,5) Free cash flow to the firm (FCFF)</t>
  </si>
  <si>
    <t>(4,5) Present value of FCFF</t>
  </si>
  <si>
    <t>(4,5) Sum of present values</t>
  </si>
  <si>
    <t>(4,5) Terminal value</t>
  </si>
  <si>
    <t>(4,5) Enterprise value</t>
  </si>
  <si>
    <t>(4,5) Equity value</t>
  </si>
  <si>
    <t>(4,5) Value per share</t>
  </si>
  <si>
    <t>Cell (5,1): revenue growth delta | gross margin delta</t>
  </si>
  <si>
    <t>(5,1) Revenue</t>
  </si>
  <si>
    <t>(5,1) Gross profit before D&amp;A</t>
  </si>
  <si>
    <t>(5,1) SG&amp;A</t>
  </si>
  <si>
    <t>(5,1) Other operating income (net)</t>
  </si>
  <si>
    <t>(5,1) EBITDA</t>
  </si>
  <si>
    <t>(5,1) Opening PP&amp;E</t>
  </si>
  <si>
    <t>(5,1) Depreciation</t>
  </si>
  <si>
    <t>(5,1) Amortization</t>
  </si>
  <si>
    <t>(5,1) D&amp;A</t>
  </si>
  <si>
    <t>(5,1) Capex</t>
  </si>
  <si>
    <t>(5,1) Closing PP&amp;E</t>
  </si>
  <si>
    <t>(5,1) EBIT</t>
  </si>
  <si>
    <t>(5,1) Tax rate on EBIT</t>
  </si>
  <si>
    <t>(5,1) Tax on EBIT</t>
  </si>
  <si>
    <t>(5,1) NOPAT</t>
  </si>
  <si>
    <t>(5,1) Cash cost of sales</t>
  </si>
  <si>
    <t>(5,1) Accounts receivable</t>
  </si>
  <si>
    <t>(5,1) Inventory</t>
  </si>
  <si>
    <t>(5,1) Trade payables</t>
  </si>
  <si>
    <t>(5,1) Other operating current assets</t>
  </si>
  <si>
    <t>(5,1) Other operating current liabilities</t>
  </si>
  <si>
    <t>(5,1) Operating net working capital</t>
  </si>
  <si>
    <t>(5,1) Change in net working capital</t>
  </si>
  <si>
    <t>(5,1) Net profit (forecast: NOPAT + after-tax net finance income)</t>
  </si>
  <si>
    <t>(5,1) Employee and board distributions</t>
  </si>
  <si>
    <t>(5,1) Free cash flow to the firm (FCFF)</t>
  </si>
  <si>
    <t>(5,1) Present value of FCFF</t>
  </si>
  <si>
    <t>(5,1) Sum of present values</t>
  </si>
  <si>
    <t>(5,1) Terminal value</t>
  </si>
  <si>
    <t>(5,1) Enterprise value</t>
  </si>
  <si>
    <t>(5,1) Equity value</t>
  </si>
  <si>
    <t>(5,1) Value per share</t>
  </si>
  <si>
    <t>Cell (5,2): revenue growth delta | gross margin delta</t>
  </si>
  <si>
    <t>(5,2) Revenue</t>
  </si>
  <si>
    <t>(5,2) Gross profit before D&amp;A</t>
  </si>
  <si>
    <t>(5,2) SG&amp;A</t>
  </si>
  <si>
    <t>(5,2) Other operating income (net)</t>
  </si>
  <si>
    <t>(5,2) EBITDA</t>
  </si>
  <si>
    <t>(5,2) Opening PP&amp;E</t>
  </si>
  <si>
    <t>(5,2) Depreciation</t>
  </si>
  <si>
    <t>(5,2) Amortization</t>
  </si>
  <si>
    <t>(5,2) D&amp;A</t>
  </si>
  <si>
    <t>(5,2) Capex</t>
  </si>
  <si>
    <t>(5,2) Closing PP&amp;E</t>
  </si>
  <si>
    <t>(5,2) EBIT</t>
  </si>
  <si>
    <t>(5,2) Tax rate on EBIT</t>
  </si>
  <si>
    <t>(5,2) Tax on EBIT</t>
  </si>
  <si>
    <t>(5,2) NOPAT</t>
  </si>
  <si>
    <t>(5,2) Cash cost of sales</t>
  </si>
  <si>
    <t>(5,2) Accounts receivable</t>
  </si>
  <si>
    <t>(5,2) Inventory</t>
  </si>
  <si>
    <t>(5,2) Trade payables</t>
  </si>
  <si>
    <t>(5,2) Other operating current assets</t>
  </si>
  <si>
    <t>(5,2) Other operating current liabilities</t>
  </si>
  <si>
    <t>(5,2) Operating net working capital</t>
  </si>
  <si>
    <t>(5,2) Change in net working capital</t>
  </si>
  <si>
    <t>(5,2) Net profit (forecast: NOPAT + after-tax net finance income)</t>
  </si>
  <si>
    <t>(5,2) Employee and board distributions</t>
  </si>
  <si>
    <t>(5,2) Free cash flow to the firm (FCFF)</t>
  </si>
  <si>
    <t>(5,2) Present value of FCFF</t>
  </si>
  <si>
    <t>(5,2) Sum of present values</t>
  </si>
  <si>
    <t>(5,2) Terminal value</t>
  </si>
  <si>
    <t>(5,2) Enterprise value</t>
  </si>
  <si>
    <t>(5,2) Equity value</t>
  </si>
  <si>
    <t>(5,2) Value per share</t>
  </si>
  <si>
    <t>Cell (5,3): revenue growth delta | gross margin delta</t>
  </si>
  <si>
    <t>(5,3) Revenue</t>
  </si>
  <si>
    <t>(5,3) Gross profit before D&amp;A</t>
  </si>
  <si>
    <t>(5,3) SG&amp;A</t>
  </si>
  <si>
    <t>(5,3) Other operating income (net)</t>
  </si>
  <si>
    <t>(5,3) EBITDA</t>
  </si>
  <si>
    <t>(5,3) Opening PP&amp;E</t>
  </si>
  <si>
    <t>(5,3) Depreciation</t>
  </si>
  <si>
    <t>(5,3) Amortization</t>
  </si>
  <si>
    <t>(5,3) D&amp;A</t>
  </si>
  <si>
    <t>(5,3) Capex</t>
  </si>
  <si>
    <t>(5,3) Closing PP&amp;E</t>
  </si>
  <si>
    <t>(5,3) EBIT</t>
  </si>
  <si>
    <t>(5,3) Tax rate on EBIT</t>
  </si>
  <si>
    <t>(5,3) Tax on EBIT</t>
  </si>
  <si>
    <t>(5,3) NOPAT</t>
  </si>
  <si>
    <t>(5,3) Cash cost of sales</t>
  </si>
  <si>
    <t>(5,3) Accounts receivable</t>
  </si>
  <si>
    <t>(5,3) Inventory</t>
  </si>
  <si>
    <t>(5,3) Trade payables</t>
  </si>
  <si>
    <t>(5,3) Other operating current assets</t>
  </si>
  <si>
    <t>(5,3) Other operating current liabilities</t>
  </si>
  <si>
    <t>(5,3) Operating net working capital</t>
  </si>
  <si>
    <t>(5,3) Change in net working capital</t>
  </si>
  <si>
    <t>(5,3) Net profit (forecast: NOPAT + after-tax net finance income)</t>
  </si>
  <si>
    <t>(5,3) Employee and board distributions</t>
  </si>
  <si>
    <t>(5,3) Free cash flow to the firm (FCFF)</t>
  </si>
  <si>
    <t>(5,3) Present value of FCFF</t>
  </si>
  <si>
    <t>(5,3) Sum of present values</t>
  </si>
  <si>
    <t>(5,3) Terminal value</t>
  </si>
  <si>
    <t>(5,3) Enterprise value</t>
  </si>
  <si>
    <t>(5,3) Equity value</t>
  </si>
  <si>
    <t>(5,3) Value per share</t>
  </si>
  <si>
    <t>Cell (5,4): revenue growth delta | gross margin delta</t>
  </si>
  <si>
    <t>(5,4) Revenue</t>
  </si>
  <si>
    <t>(5,4) Gross profit before D&amp;A</t>
  </si>
  <si>
    <t>(5,4) SG&amp;A</t>
  </si>
  <si>
    <t>(5,4) Other operating income (net)</t>
  </si>
  <si>
    <t>(5,4) EBITDA</t>
  </si>
  <si>
    <t>(5,4) Opening PP&amp;E</t>
  </si>
  <si>
    <t>(5,4) Depreciation</t>
  </si>
  <si>
    <t>(5,4) Amortization</t>
  </si>
  <si>
    <t>(5,4) D&amp;A</t>
  </si>
  <si>
    <t>(5,4) Capex</t>
  </si>
  <si>
    <t>(5,4) Closing PP&amp;E</t>
  </si>
  <si>
    <t>(5,4) EBIT</t>
  </si>
  <si>
    <t>(5,4) Tax rate on EBIT</t>
  </si>
  <si>
    <t>(5,4) Tax on EBIT</t>
  </si>
  <si>
    <t>(5,4) NOPAT</t>
  </si>
  <si>
    <t>(5,4) Cash cost of sales</t>
  </si>
  <si>
    <t>(5,4) Accounts receivable</t>
  </si>
  <si>
    <t>(5,4) Inventory</t>
  </si>
  <si>
    <t>(5,4) Trade payables</t>
  </si>
  <si>
    <t>(5,4) Other operating current assets</t>
  </si>
  <si>
    <t>(5,4) Other operating current liabilities</t>
  </si>
  <si>
    <t>(5,4) Operating net working capital</t>
  </si>
  <si>
    <t>(5,4) Change in net working capital</t>
  </si>
  <si>
    <t>(5,4) Net profit (forecast: NOPAT + after-tax net finance income)</t>
  </si>
  <si>
    <t>(5,4) Employee and board distributions</t>
  </si>
  <si>
    <t>(5,4) Free cash flow to the firm (FCFF)</t>
  </si>
  <si>
    <t>(5,4) Present value of FCFF</t>
  </si>
  <si>
    <t>(5,4) Sum of present values</t>
  </si>
  <si>
    <t>(5,4) Terminal value</t>
  </si>
  <si>
    <t>(5,4) Enterprise value</t>
  </si>
  <si>
    <t>(5,4) Equity value</t>
  </si>
  <si>
    <t>(5,4) Value per share</t>
  </si>
  <si>
    <t>Cell (5,5): revenue growth delta | gross margin delta</t>
  </si>
  <si>
    <t>(5,5) Revenue</t>
  </si>
  <si>
    <t>(5,5) Gross profit before D&amp;A</t>
  </si>
  <si>
    <t>(5,5) SG&amp;A</t>
  </si>
  <si>
    <t>(5,5) Other operating income (net)</t>
  </si>
  <si>
    <t>(5,5) EBITDA</t>
  </si>
  <si>
    <t>(5,5) Opening PP&amp;E</t>
  </si>
  <si>
    <t>(5,5) Depreciation</t>
  </si>
  <si>
    <t>(5,5) Amortization</t>
  </si>
  <si>
    <t>(5,5) D&amp;A</t>
  </si>
  <si>
    <t>(5,5) Capex</t>
  </si>
  <si>
    <t>(5,5) Closing PP&amp;E</t>
  </si>
  <si>
    <t>(5,5) EBIT</t>
  </si>
  <si>
    <t>(5,5) Tax rate on EBIT</t>
  </si>
  <si>
    <t>(5,5) Tax on EBIT</t>
  </si>
  <si>
    <t>(5,5) NOPAT</t>
  </si>
  <si>
    <t>(5,5) Cash cost of sales</t>
  </si>
  <si>
    <t>(5,5) Accounts receivable</t>
  </si>
  <si>
    <t>(5,5) Inventory</t>
  </si>
  <si>
    <t>(5,5) Trade payables</t>
  </si>
  <si>
    <t>(5,5) Other operating current assets</t>
  </si>
  <si>
    <t>(5,5) Other operating current liabilities</t>
  </si>
  <si>
    <t>(5,5) Operating net working capital</t>
  </si>
  <si>
    <t>(5,5) Change in net working capital</t>
  </si>
  <si>
    <t>(5,5) Net profit (forecast: NOPAT + after-tax net finance income)</t>
  </si>
  <si>
    <t>(5,5) Employee and board distributions</t>
  </si>
  <si>
    <t>(5,5) Free cash flow to the firm (FCFF)</t>
  </si>
  <si>
    <t>(5,5) Present value of FCFF</t>
  </si>
  <si>
    <t>(5,5) Sum of present values</t>
  </si>
  <si>
    <t>(5,5) Terminal value</t>
  </si>
  <si>
    <t>(5,5) Enterprise value</t>
  </si>
  <si>
    <t>(5,5) Equity value</t>
  </si>
  <si>
    <t>(5,5) Value per share</t>
  </si>
  <si>
    <t>MOPCO: Checks</t>
  </si>
  <si>
    <t>Every check must be TRUE. The master check on the Cover is the AND of all checks below.</t>
  </si>
  <si>
    <t>Result</t>
  </si>
  <si>
    <t>Compared with</t>
  </si>
  <si>
    <t>FY2024 balance sheet balances</t>
  </si>
  <si>
    <t>FY2024 operating profit recomputes</t>
  </si>
  <si>
    <t>FY2024 net profit recomputes</t>
  </si>
  <si>
    <t>FY2025 balance sheet balances</t>
  </si>
  <si>
    <t>FY2025 operating profit recomputes</t>
  </si>
  <si>
    <t>FY2025 net profit recomputes</t>
  </si>
  <si>
    <t>Forecast year 1: NWC ties to its components</t>
  </si>
  <si>
    <t>Forecast year 1: PP&amp;E roll-forward ties</t>
  </si>
  <si>
    <t>Forecast year 2: NWC ties to its components</t>
  </si>
  <si>
    <t>Forecast year 2: PP&amp;E roll-forward ties</t>
  </si>
  <si>
    <t>Forecast year 3: NWC ties to its components</t>
  </si>
  <si>
    <t>Forecast year 3: PP&amp;E roll-forward ties</t>
  </si>
  <si>
    <t>Forecast year 4: NWC ties to its components</t>
  </si>
  <si>
    <t>Forecast year 4: PP&amp;E roll-forward ties</t>
  </si>
  <si>
    <t>Forecast year 5: NWC ties to its components</t>
  </si>
  <si>
    <t>Forecast year 5: PP&amp;E roll-forward ties</t>
  </si>
  <si>
    <t>Forecast terminal year: NWC ties to its components</t>
  </si>
  <si>
    <t>Forecast terminal year: PP&amp;E roll-forward ties</t>
  </si>
  <si>
    <t>Bridge sums: equity = EV + bridge lines</t>
  </si>
  <si>
    <t>Scenario probabilities sum to 100%</t>
  </si>
  <si>
    <t>Blend weights sum to 100%</t>
  </si>
  <si>
    <t>Terminal growth below WACC</t>
  </si>
  <si>
    <t>Sensitivity centre equals DCF value (wacc_g)</t>
  </si>
  <si>
    <t>Sensitivity centre equals DCF value (growth_margin)</t>
  </si>
  <si>
    <t>Sensitivity centre equals DCF value (rf_beta)</t>
  </si>
  <si>
    <t>Excel DCF per share equals engine (Inputs)</t>
  </si>
  <si>
    <t>Excel enterprise value equals engine</t>
  </si>
  <si>
    <t>Excel WACC equals engine</t>
  </si>
  <si>
    <t>Excel DDM per share equals engine</t>
  </si>
  <si>
    <t>Excel blended value equals engine</t>
  </si>
  <si>
    <t>Excel probability-weighted scenario value equals engine</t>
  </si>
  <si>
    <t>No stale or unconfirmed rate used without a flag</t>
  </si>
  <si>
    <t>Master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</si>
</sst>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-mmm-yyyy"/>
    <numFmt numFmtId="165" formatCode="0.0%"/>
    <numFmt numFmtId="166" formatCode="0.0&quot;x&quot;"/>
    <numFmt numFmtId="167" formatCode="0.0000"/>
    <numFmt numFmtId="168" formatCode="_(#,##0_);(#,##0);_(&quot;–&quot;_);_(@_)"/>
    <numFmt numFmtId="169" formatCode="0.0"/>
  </numFmts>
  <fonts count="6" x14ac:knownFonts="1">
    <font>
      <color theme="1"/>
      <family val="2"/>
      <scheme val="minor"/>
      <sz val="11"/>
      <name val="Calibri"/>
    </font>
    <font>
      <b/>
      <color rgb="FF000000"/>
      <sz val="14"/>
      <name val="Calibri"/>
    </font>
    <font>
      <color rgb="FF000000"/>
      <sz val="11"/>
      <name val="Calibri"/>
    </font>
    <font>
      <b/>
      <color rgb="FF000000"/>
      <sz val="11"/>
      <name val="Calibri"/>
    </font>
    <font>
      <color rgb="FF0000FF"/>
      <sz val="11"/>
      <name val="Calibri"/>
    </font>
    <font>
      <u/>
      <color rgb="FF000000"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right"/>
    </xf>
    <xf numFmtId="0" fontId="4" fillId="0" borderId="0" xfId="0" applyFont="1"/>
    <xf numFmtId="164" fontId="2" fillId="0" borderId="0" xfId="0" applyNumberFormat="1" applyFont="1"/>
    <xf numFmtId="4" fontId="2" fillId="0" borderId="0" xfId="0" applyNumberFormat="1" applyFont="1"/>
    <xf numFmtId="0" fontId="3" fillId="0" borderId="0" xfId="0" applyFont="1"/>
    <xf numFmtId="0" fontId="5" fillId="0" borderId="0" xfId="0" applyFont="1"/>
    <xf numFmtId="165" fontId="2" fillId="0" borderId="0" xfId="0" applyNumberFormat="1" applyFont="1"/>
    <xf numFmtId="4" fontId="3" fillId="0" borderId="2" xfId="0" applyNumberFormat="1" applyFont="1" applyBorder="1"/>
    <xf numFmtId="165" fontId="3" fillId="0" borderId="0" xfId="0" applyNumberFormat="1" applyFont="1"/>
    <xf numFmtId="166" fontId="2" fillId="0" borderId="0" xfId="0" applyNumberFormat="1" applyFont="1"/>
    <xf numFmtId="10" fontId="2" fillId="0" borderId="0" xfId="0" applyNumberFormat="1" applyFont="1"/>
    <xf numFmtId="167" fontId="2" fillId="0" borderId="0" xfId="0" applyNumberFormat="1" applyFont="1"/>
    <xf numFmtId="164" fontId="4" fillId="0" borderId="0" xfId="0" applyNumberFormat="1" applyFont="1"/>
    <xf numFmtId="4" fontId="4" fillId="0" borderId="0" xfId="0" applyNumberFormat="1" applyFont="1"/>
    <xf numFmtId="168" fontId="4" fillId="0" borderId="0" xfId="0" applyNumberFormat="1" applyFont="1"/>
    <xf numFmtId="168" fontId="2" fillId="0" borderId="0" xfId="0" applyNumberFormat="1" applyFont="1"/>
    <xf numFmtId="1" fontId="4" fillId="0" borderId="0" xfId="0" applyNumberFormat="1" applyFont="1"/>
    <xf numFmtId="10" fontId="4" fillId="0" borderId="0" xfId="0" applyNumberFormat="1" applyFont="1"/>
    <xf numFmtId="167" fontId="4" fillId="0" borderId="0" xfId="0" applyNumberFormat="1" applyFont="1"/>
    <xf numFmtId="2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9" fontId="4" fillId="0" borderId="0" xfId="0" applyNumberFormat="1" applyFont="1"/>
    <xf numFmtId="2" fontId="2" fillId="0" borderId="0" xfId="0" applyNumberFormat="1" applyFont="1"/>
    <xf numFmtId="1" fontId="2" fillId="0" borderId="0" xfId="0" applyNumberFormat="1" applyFont="1"/>
    <xf numFmtId="1" fontId="3" fillId="0" borderId="2" xfId="0" applyNumberFormat="1" applyFont="1" applyBorder="1"/>
    <xf numFmtId="2" fontId="3" fillId="0" borderId="0" xfId="0" applyNumberFormat="1" applyFont="1"/>
    <xf numFmtId="10" fontId="3" fillId="0" borderId="2" xfId="0" applyNumberFormat="1" applyFont="1" applyBorder="1"/>
    <xf numFmtId="168" fontId="2" fillId="0" borderId="2" xfId="0" applyNumberFormat="1" applyFont="1" applyBorder="1"/>
    <xf numFmtId="168" fontId="3" fillId="0" borderId="2" xfId="0" applyNumberFormat="1" applyFont="1" applyBorder="1"/>
    <xf numFmtId="168" fontId="3" fillId="0" borderId="0" xfId="0" applyNumberFormat="1" applyFont="1"/>
    <xf numFmtId="169" fontId="2" fillId="0" borderId="0" xfId="0" applyNumberFormat="1" applyFont="1"/>
    <xf numFmtId="10" fontId="3" fillId="0" borderId="0" xfId="0" applyNumberFormat="1" applyFont="1"/>
    <xf numFmtId="167" fontId="3" fillId="0" borderId="0" xfId="0" applyNumberFormat="1" applyFont="1"/>
    <xf numFmtId="10" fontId="2" fillId="0" borderId="2" xfId="0" applyNumberFormat="1" applyFont="1" applyBorder="1"/>
    <xf numFmtId="4" fontId="3" fillId="0" borderId="0" xfId="0" applyNumberFormat="1" applyFont="1"/>
    <xf numFmtId="10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3" fillId="0" borderId="2" xfId="0" applyFont="1" applyBorder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Cover!A1" TargetMode="External"/><Relationship Id="rId2" Type="http://schemas.openxmlformats.org/officeDocument/2006/relationships/hyperlink" Target="#Summary!A1" TargetMode="External"/><Relationship Id="rId3" Type="http://schemas.openxmlformats.org/officeDocument/2006/relationships/hyperlink" Target="#Inputs!A1" TargetMode="External"/><Relationship Id="rId4" Type="http://schemas.openxmlformats.org/officeDocument/2006/relationships/hyperlink" Target="#Sources!A1" TargetMode="External"/><Relationship Id="rId5" Type="http://schemas.openxmlformats.org/officeDocument/2006/relationships/hyperlink" Target="#Historical!A1" TargetMode="External"/><Relationship Id="rId6" Type="http://schemas.openxmlformats.org/officeDocument/2006/relationships/hyperlink" Target="#Normalization!A1" TargetMode="External"/><Relationship Id="rId7" Type="http://schemas.openxmlformats.org/officeDocument/2006/relationships/hyperlink" Target="#&apos;Operating Model&apos;!A1" TargetMode="External"/><Relationship Id="rId8" Type="http://schemas.openxmlformats.org/officeDocument/2006/relationships/hyperlink" Target="#WACC!A1" TargetMode="External"/><Relationship Id="rId9" Type="http://schemas.openxmlformats.org/officeDocument/2006/relationships/hyperlink" Target="#DCF!A1" TargetMode="External"/><Relationship Id="rId10" Type="http://schemas.openxmlformats.org/officeDocument/2006/relationships/hyperlink" Target="#&apos;USD Check&apos;!A1" TargetMode="External"/><Relationship Id="rId11" Type="http://schemas.openxmlformats.org/officeDocument/2006/relationships/hyperlink" Target="#DDM!A1" TargetMode="External"/><Relationship Id="rId12" Type="http://schemas.openxmlformats.org/officeDocument/2006/relationships/hyperlink" Target="#&apos;Comps Precedents SOTP&apos;!A1" TargetMode="External"/><Relationship Id="rId13" Type="http://schemas.openxmlformats.org/officeDocument/2006/relationships/hyperlink" Target="#Scenarios!A1" TargetMode="External"/><Relationship Id="rId14" Type="http://schemas.openxmlformats.org/officeDocument/2006/relationships/hyperlink" Target="#Sensitivity!A1" TargetMode="External"/><Relationship Id="rId15" Type="http://schemas.openxmlformats.org/officeDocument/2006/relationships/hyperlink" Target="#Checks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be.org.eg/en/" TargetMode="External"/><Relationship Id="rId2" Type="http://schemas.openxmlformats.org/officeDocument/2006/relationships/hyperlink" Target="https://www.cbe.org.eg/en/" TargetMode="External"/><Relationship Id="rId3" Type="http://schemas.openxmlformats.org/officeDocument/2006/relationships/hyperlink" Target="https://www.cbe.org.eg/en/" TargetMode="External"/><Relationship Id="rId4" Type="http://schemas.openxmlformats.org/officeDocument/2006/relationships/hyperlink" Target="https://www.cbe.org.eg/en/monetary-policy/mpc-meetings-schedule" TargetMode="External"/><Relationship Id="rId5" Type="http://schemas.openxmlformats.org/officeDocument/2006/relationships/hyperlink" Target="https://www.cbe.org.eg/en/monetary-policy/inflation-target" TargetMode="External"/><Relationship Id="rId6" Type="http://schemas.openxmlformats.org/officeDocument/2006/relationships/hyperlink" Target="https://www.cbe.org.eg/en/monetary-policy/inflation-target" TargetMode="External"/><Relationship Id="rId7" Type="http://schemas.openxmlformats.org/officeDocument/2006/relationships/hyperlink" Target="https://www.cbe.org.eg/en/monetary-policy/mpc-meetings-schedule" TargetMode="External"/><Relationship Id="rId8" Type="http://schemas.openxmlformats.org/officeDocument/2006/relationships/hyperlink" Target="https://www.cbe.org.eg/en/monetary-policy/inflation" TargetMode="External"/><Relationship Id="rId9" Type="http://schemas.openxmlformats.org/officeDocument/2006/relationships/hyperlink" Target="https://www.cbe.org.eg/en/monetary-policy/inflation" TargetMode="External"/><Relationship Id="rId10" Type="http://schemas.openxmlformats.org/officeDocument/2006/relationships/hyperlink" Target="https://www.cbe.org.eg/en/auctions/egp-t-bonds-fixed-coupon" TargetMode="External"/><Relationship Id="rId11" Type="http://schemas.openxmlformats.org/officeDocument/2006/relationships/hyperlink" Target="https://home.treasury.gov/resource-center/data-chart-center/interest-rates/TextView?type=daily_treasury_yield_curve" TargetMode="External"/><Relationship Id="rId12" Type="http://schemas.openxmlformats.org/officeDocument/2006/relationships/hyperlink" Target="https://ratings.moodys.com/ratings-news/462631" TargetMode="External"/><Relationship Id="rId13" Type="http://schemas.openxmlformats.org/officeDocument/2006/relationships/hyperlink" Target="https://english.ahram.org.eg/News/554751.aspx" TargetMode="External"/><Relationship Id="rId14" Type="http://schemas.openxmlformats.org/officeDocument/2006/relationships/hyperlink" Target="https://pages.stern.nyu.edu/~adamodar/pc/datasets/ctrypremJuly26.xlsx" TargetMode="External"/><Relationship Id="rId15" Type="http://schemas.openxmlformats.org/officeDocument/2006/relationships/hyperlink" Target="https://pages.stern.nyu.edu/~adamodar/pc/datasets/ctrypremJuly26.xlsx" TargetMode="External"/><Relationship Id="rId16" Type="http://schemas.openxmlformats.org/officeDocument/2006/relationships/hyperlink" Target="https://pages.stern.nyu.edu/~adamodar/pc/datasets/ctrypremJuly26.xlsx" TargetMode="External"/><Relationship Id="rId17" Type="http://schemas.openxmlformats.org/officeDocument/2006/relationships/hyperlink" Target="https://pages.stern.nyu.edu/~adamodar/pc/datasets/ctrypremJuly26.xlsx" TargetMode="External"/><Relationship Id="rId18" Type="http://schemas.openxmlformats.org/officeDocument/2006/relationships/hyperlink" Target="https://pages.stern.nyu.edu/~adamodar/pc/datasets/ctrypremJuly26.xlsx" TargetMode="External"/><Relationship Id="rId19" Type="http://schemas.openxmlformats.org/officeDocument/2006/relationships/hyperlink" Target="https://pages.stern.nyu.edu/~adamodar/pc/datasets/ctrypremJuly26.xlsx" TargetMode="External"/><Relationship Id="rId20" Type="http://schemas.openxmlformats.org/officeDocument/2006/relationships/hyperlink" Target="https://pages.stern.nyu.edu/~adamodar/pc/blog/DiffInflationRiskfree26.xlsx" TargetMode="External"/><Relationship Id="rId21" Type="http://schemas.openxmlformats.org/officeDocument/2006/relationships/hyperlink" Target="https://pages.stern.nyu.edu/~adamodar/pc/blog/DiffInflationRiskfree26.xlsx" TargetMode="External"/><Relationship Id="rId22" Type="http://schemas.openxmlformats.org/officeDocument/2006/relationships/hyperlink" Target="https://pages.stern.nyu.edu/~adamodar/pc/blog/DiffInflationRiskfree26.xlsx" TargetMode="External"/><Relationship Id="rId23" Type="http://schemas.openxmlformats.org/officeDocument/2006/relationships/hyperlink" Target="https://pages.stern.nyu.edu/~adamodar/pc/blog/DiffInflationRiskfree26.xlsx" TargetMode="External"/><Relationship Id="rId24" Type="http://schemas.openxmlformats.org/officeDocument/2006/relationships/hyperlink" Target="https://pages.stern.nyu.edu/~adamodar/pc/datasets/betaemerg.xls" TargetMode="External"/><Relationship Id="rId25" Type="http://schemas.openxmlformats.org/officeDocument/2006/relationships/hyperlink" Target="https://pages.stern.nyu.edu/~adamodar/pc/ratings.xls" TargetMode="External"/><Relationship Id="rId26" Type="http://schemas.openxmlformats.org/officeDocument/2006/relationships/hyperlink" Target="https://pages.stern.nyu.edu/~adamodar/pc/ratings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34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2" customWidth="1"/>
    <col min="3" max="3" width="11" customWidth="1"/>
    <col min="4" max="5" width="17" customWidth="1"/>
    <col min="6" max="6" width="7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2" t="s">
        <v>2</v>
      </c>
    </row>
    <row r="6" spans="2:6" x14ac:dyDescent="0.25">
      <c r="B6" s="3" t="s">
        <v>3</v>
      </c>
      <c r="C6" s="4"/>
      <c r="D6" s="4"/>
      <c r="E6" s="4"/>
      <c r="F6" s="4"/>
    </row>
    <row r="7" spans="2:6" x14ac:dyDescent="0.25">
      <c r="B7" s="4"/>
      <c r="C7" s="3" t="s">
        <v>4</v>
      </c>
      <c r="D7" s="5" t="s">
        <v>5</v>
      </c>
      <c r="E7" s="4"/>
      <c r="F7" s="3" t="s">
        <v>6</v>
      </c>
    </row>
    <row r="8" spans="2:4" x14ac:dyDescent="0.25">
      <c r="B8" s="2" t="s">
        <v>7</v>
      </c>
      <c r="C8" s="2" t="s">
        <v>4</v>
      </c>
      <c r="D8" s="6" t="s">
        <v>8</v>
      </c>
    </row>
    <row r="9" spans="2:4" x14ac:dyDescent="0.25">
      <c r="B9" s="2" t="s">
        <v>9</v>
      </c>
      <c r="C9" s="2" t="s">
        <v>4</v>
      </c>
      <c r="D9" s="6" t="s">
        <v>10</v>
      </c>
    </row>
    <row r="10" spans="2:4" x14ac:dyDescent="0.25">
      <c r="B10" s="2" t="s">
        <v>11</v>
      </c>
      <c r="C10" s="2" t="s">
        <v>12</v>
      </c>
      <c r="D10" s="7">
        <f>Inputs!$D$10</f>
      </c>
    </row>
    <row r="11" spans="2:4" x14ac:dyDescent="0.25">
      <c r="B11" s="2" t="s">
        <v>13</v>
      </c>
      <c r="C11" s="2" t="s">
        <v>14</v>
      </c>
      <c r="D11" s="8">
        <f>Inputs!$D$11</f>
      </c>
    </row>
    <row r="12" spans="2:4" x14ac:dyDescent="0.25">
      <c r="B12" s="2" t="s">
        <v>15</v>
      </c>
      <c r="C12" s="2" t="s">
        <v>12</v>
      </c>
      <c r="D12" s="7">
        <f>Inputs!$D$12</f>
      </c>
    </row>
    <row r="13" spans="2:4" x14ac:dyDescent="0.25">
      <c r="B13" s="2" t="s">
        <v>16</v>
      </c>
      <c r="C13" s="2" t="s">
        <v>4</v>
      </c>
      <c r="D13" s="6" t="s">
        <v>17</v>
      </c>
    </row>
    <row r="14" spans="2:6" x14ac:dyDescent="0.25">
      <c r="B14" s="2" t="s">
        <v>18</v>
      </c>
      <c r="C14" s="2" t="s">
        <v>4</v>
      </c>
      <c r="D14" s="6" t="s">
        <v>19</v>
      </c>
      <c r="F14" s="2" t="s">
        <v>20</v>
      </c>
    </row>
    <row r="15" spans="2:4" x14ac:dyDescent="0.25">
      <c r="B15" s="2" t="s">
        <v>21</v>
      </c>
      <c r="C15" s="2" t="s">
        <v>4</v>
      </c>
      <c r="D15" s="6" t="s">
        <v>22</v>
      </c>
    </row>
    <row r="16" spans="2:4" x14ac:dyDescent="0.25">
      <c r="B16" s="9" t="s">
        <v>23</v>
      </c>
      <c r="C16" s="2" t="s">
        <v>4</v>
      </c>
      <c r="D16" s="9">
        <f>Checks!$D$40</f>
      </c>
    </row>
    <row r="18" spans="2:6" x14ac:dyDescent="0.25">
      <c r="B18" s="3" t="s">
        <v>24</v>
      </c>
      <c r="C18" s="4"/>
      <c r="D18" s="4"/>
      <c r="E18" s="4"/>
      <c r="F18" s="4"/>
    </row>
    <row r="19" spans="2:6" x14ac:dyDescent="0.25">
      <c r="B19" s="4"/>
      <c r="C19" s="3" t="s">
        <v>4</v>
      </c>
      <c r="D19" s="5" t="s">
        <v>25</v>
      </c>
      <c r="E19" s="4"/>
      <c r="F19" s="3" t="s">
        <v>6</v>
      </c>
    </row>
    <row r="20" spans="2:4" x14ac:dyDescent="0.25">
      <c r="B20" s="2" t="s">
        <v>26</v>
      </c>
      <c r="C20" s="2" t="s">
        <v>4</v>
      </c>
      <c r="D20" s="10" t="s">
        <v>26</v>
      </c>
    </row>
    <row r="21" spans="2:4" x14ac:dyDescent="0.25">
      <c r="B21" s="2" t="s">
        <v>27</v>
      </c>
      <c r="C21" s="2" t="s">
        <v>4</v>
      </c>
      <c r="D21" s="10" t="s">
        <v>27</v>
      </c>
    </row>
    <row r="22" spans="2:4" x14ac:dyDescent="0.25">
      <c r="B22" s="2" t="s">
        <v>28</v>
      </c>
      <c r="C22" s="2" t="s">
        <v>4</v>
      </c>
      <c r="D22" s="10" t="s">
        <v>28</v>
      </c>
    </row>
    <row r="23" spans="2:4" x14ac:dyDescent="0.25">
      <c r="B23" s="2" t="s">
        <v>29</v>
      </c>
      <c r="C23" s="2" t="s">
        <v>4</v>
      </c>
      <c r="D23" s="10" t="s">
        <v>29</v>
      </c>
    </row>
    <row r="24" spans="2:4" x14ac:dyDescent="0.25">
      <c r="B24" s="2" t="s">
        <v>30</v>
      </c>
      <c r="C24" s="2" t="s">
        <v>4</v>
      </c>
      <c r="D24" s="10" t="s">
        <v>30</v>
      </c>
    </row>
    <row r="25" spans="2:4" x14ac:dyDescent="0.25">
      <c r="B25" s="2" t="s">
        <v>31</v>
      </c>
      <c r="C25" s="2" t="s">
        <v>4</v>
      </c>
      <c r="D25" s="10" t="s">
        <v>31</v>
      </c>
    </row>
    <row r="26" spans="2:4" x14ac:dyDescent="0.25">
      <c r="B26" s="2" t="s">
        <v>32</v>
      </c>
      <c r="C26" s="2" t="s">
        <v>4</v>
      </c>
      <c r="D26" s="10" t="s">
        <v>32</v>
      </c>
    </row>
    <row r="27" spans="2:4" x14ac:dyDescent="0.25">
      <c r="B27" s="2" t="s">
        <v>33</v>
      </c>
      <c r="C27" s="2" t="s">
        <v>4</v>
      </c>
      <c r="D27" s="10" t="s">
        <v>33</v>
      </c>
    </row>
    <row r="28" spans="2:4" x14ac:dyDescent="0.25">
      <c r="B28" s="2" t="s">
        <v>34</v>
      </c>
      <c r="C28" s="2" t="s">
        <v>4</v>
      </c>
      <c r="D28" s="10" t="s">
        <v>34</v>
      </c>
    </row>
    <row r="29" spans="2:4" x14ac:dyDescent="0.25">
      <c r="B29" s="2" t="s">
        <v>35</v>
      </c>
      <c r="C29" s="2" t="s">
        <v>4</v>
      </c>
      <c r="D29" s="10" t="s">
        <v>35</v>
      </c>
    </row>
    <row r="30" spans="2:4" x14ac:dyDescent="0.25">
      <c r="B30" s="2" t="s">
        <v>36</v>
      </c>
      <c r="C30" s="2" t="s">
        <v>4</v>
      </c>
      <c r="D30" s="10" t="s">
        <v>36</v>
      </c>
    </row>
    <row r="31" spans="2:4" x14ac:dyDescent="0.25">
      <c r="B31" s="2" t="s">
        <v>37</v>
      </c>
      <c r="C31" s="2" t="s">
        <v>4</v>
      </c>
      <c r="D31" s="10" t="s">
        <v>37</v>
      </c>
    </row>
    <row r="32" spans="2:4" x14ac:dyDescent="0.25">
      <c r="B32" s="2" t="s">
        <v>38</v>
      </c>
      <c r="C32" s="2" t="s">
        <v>4</v>
      </c>
      <c r="D32" s="10" t="s">
        <v>38</v>
      </c>
    </row>
    <row r="33" spans="2:4" x14ac:dyDescent="0.25">
      <c r="B33" s="2" t="s">
        <v>39</v>
      </c>
      <c r="C33" s="2" t="s">
        <v>4</v>
      </c>
      <c r="D33" s="10" t="s">
        <v>39</v>
      </c>
    </row>
    <row r="34" spans="2:4" x14ac:dyDescent="0.25">
      <c r="B34" s="2" t="s">
        <v>40</v>
      </c>
      <c r="C34" s="2" t="s">
        <v>4</v>
      </c>
      <c r="D34" s="10" t="s">
        <v>40</v>
      </c>
    </row>
  </sheetData>
  <hyperlinks>
    <hyperlink ref="D20" r:id="rId1" location="#Cover!A1"/>
    <hyperlink ref="D21" r:id="rId2" location="#Summary!A1"/>
    <hyperlink ref="D22" r:id="rId3" location="#Inputs!A1"/>
    <hyperlink ref="D23" r:id="rId4" location="#Sources!A1"/>
    <hyperlink ref="D24" r:id="rId5" location="#Historical!A1"/>
    <hyperlink ref="D25" r:id="rId6" location="#Normalization!A1"/>
    <hyperlink ref="D26" r:id="rId7" location="#'Operating Model'!A1"/>
    <hyperlink ref="D27" r:id="rId8" location="#WACC!A1"/>
    <hyperlink ref="D28" r:id="rId9" location="#DCF!A1"/>
    <hyperlink ref="D29" r:id="rId10" location="#'USD Check'!A1"/>
    <hyperlink ref="D30" r:id="rId11" location="#DDM!A1"/>
    <hyperlink ref="D31" r:id="rId12" location="#'Comps Precedents SOTP'!A1"/>
    <hyperlink ref="D32" r:id="rId13" location="#Scenarios!A1"/>
    <hyperlink ref="D33" r:id="rId14" location="#Sensitivity!A1"/>
    <hyperlink ref="D34" r:id="rId15" location="#Checks!A1"/>
  </hyperlinks>
  <pageMargins left="0.4" right="0.4" top="0.5" bottom="0.6" header="0.3" footer="0.3"/>
  <pageSetup paperSize="9" orientation="landscape" fitToWidth="1" fitToHeight="0"/>
  <headerFooter>
    <oddFooter>&amp;CMOPCO | Cover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43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2" customWidth="1"/>
    <col min="3" max="3" width="11" customWidth="1"/>
    <col min="4" max="6" width="17" customWidth="1"/>
    <col min="7" max="7" width="70" customWidth="1"/>
  </cols>
  <sheetData>
    <row r="2" spans="2:2" x14ac:dyDescent="0.25">
      <c r="B2" s="1" t="s">
        <v>41</v>
      </c>
    </row>
    <row r="3" spans="2:2" x14ac:dyDescent="0.25">
      <c r="B3" s="2" t="s">
        <v>42</v>
      </c>
    </row>
    <row r="4" spans="2:2" x14ac:dyDescent="0.25">
      <c r="B4" s="2" t="s">
        <v>2</v>
      </c>
    </row>
    <row r="6" spans="2:7" x14ac:dyDescent="0.25">
      <c r="B6" s="3" t="s">
        <v>43</v>
      </c>
      <c r="C6" s="4"/>
      <c r="D6" s="4"/>
      <c r="E6" s="4"/>
      <c r="F6" s="4"/>
      <c r="G6" s="4"/>
    </row>
    <row r="7" spans="2:7" x14ac:dyDescent="0.25">
      <c r="B7" s="4"/>
      <c r="C7" s="3" t="s">
        <v>4</v>
      </c>
      <c r="D7" s="5" t="s">
        <v>44</v>
      </c>
      <c r="E7" s="5" t="s">
        <v>45</v>
      </c>
      <c r="F7" s="5" t="s">
        <v>46</v>
      </c>
      <c r="G7" s="3" t="s">
        <v>6</v>
      </c>
    </row>
    <row r="8" spans="2:6" x14ac:dyDescent="0.25">
      <c r="B8" s="2" t="s">
        <v>47</v>
      </c>
      <c r="C8" s="2" t="s">
        <v>14</v>
      </c>
      <c r="D8" s="8">
        <f>DCF!$D$54</f>
      </c>
      <c r="E8" s="11">
        <f>Inputs!$D$241</f>
      </c>
      <c r="F8" s="11">
        <f>IF(AND(ISNUMBER($D$8),$E$8&gt;0),$E$8/SUMPRODUCT(ISNUMBER($D$8:$D$12)*($E$8:$E$12)),0)</f>
      </c>
    </row>
    <row r="9" spans="2:6" x14ac:dyDescent="0.25">
      <c r="B9" s="2" t="s">
        <v>48</v>
      </c>
      <c r="C9" s="2" t="s">
        <v>14</v>
      </c>
      <c r="D9" s="8">
        <f>DDM!$D$25</f>
      </c>
      <c r="E9" s="11">
        <f>Inputs!$D$242</f>
      </c>
      <c r="F9" s="11">
        <f>IF(AND(ISNUMBER($D$9),$E$9&gt;0),$E$9/SUMPRODUCT(ISNUMBER($D$8:$D$12)*($E$8:$E$12)),0)</f>
      </c>
    </row>
    <row r="10" spans="2:7" x14ac:dyDescent="0.25">
      <c r="B10" s="2" t="s">
        <v>49</v>
      </c>
      <c r="C10" s="2" t="s">
        <v>14</v>
      </c>
      <c r="D10" s="8">
        <f>"n/a"</f>
      </c>
      <c r="E10" s="11">
        <f>Inputs!$D$243</f>
      </c>
      <c r="F10" s="11">
        <f>IF(AND(ISNUMBER($D$10),$E$10&gt;0),$E$10/SUMPRODUCT(ISNUMBER($D$8:$D$12)*($E$8:$E$12)),0)</f>
      </c>
      <c r="G10" s="2" t="s">
        <v>50</v>
      </c>
    </row>
    <row r="11" spans="2:7" x14ac:dyDescent="0.25">
      <c r="B11" s="2" t="s">
        <v>51</v>
      </c>
      <c r="C11" s="2" t="s">
        <v>14</v>
      </c>
      <c r="D11" s="8">
        <f>"n/a"</f>
      </c>
      <c r="E11" s="11">
        <f>Inputs!$D$244</f>
      </c>
      <c r="F11" s="11">
        <f>IF(AND(ISNUMBER($D$11),$E$11&gt;0),$E$11/SUMPRODUCT(ISNUMBER($D$8:$D$12)*($E$8:$E$12)),0)</f>
      </c>
      <c r="G11" s="2" t="s">
        <v>50</v>
      </c>
    </row>
    <row r="12" spans="2:7" x14ac:dyDescent="0.25">
      <c r="B12" s="2" t="s">
        <v>52</v>
      </c>
      <c r="C12" s="2" t="s">
        <v>14</v>
      </c>
      <c r="D12" s="8">
        <f>"n/a"</f>
      </c>
      <c r="E12" s="11">
        <f>Inputs!$D$245</f>
      </c>
      <c r="F12" s="11">
        <f>IF(AND(ISNUMBER($D$12),$E$12&gt;0),$E$12/SUMPRODUCT(ISNUMBER($D$8:$D$12)*($E$8:$E$12)),0)</f>
      </c>
      <c r="G12" s="2" t="s">
        <v>50</v>
      </c>
    </row>
    <row r="13" spans="2:5" x14ac:dyDescent="0.25">
      <c r="B13" s="2" t="s">
        <v>53</v>
      </c>
      <c r="C13" s="2" t="s">
        <v>54</v>
      </c>
      <c r="E13" s="11">
        <f>SUM($E$8:$E$12)</f>
      </c>
    </row>
    <row r="14" spans="2:4" x14ac:dyDescent="0.25">
      <c r="B14" s="9" t="s">
        <v>55</v>
      </c>
      <c r="C14" s="2" t="s">
        <v>14</v>
      </c>
      <c r="D14" s="12">
        <f>SUMPRODUCT($D$8:$D$12,$F$8:$F$12)</f>
      </c>
    </row>
    <row r="15" spans="2:4" x14ac:dyDescent="0.25">
      <c r="B15" s="2" t="s">
        <v>56</v>
      </c>
      <c r="C15" s="2" t="s">
        <v>14</v>
      </c>
      <c r="D15" s="8">
        <f>Inputs!$D$11</f>
      </c>
    </row>
    <row r="16" spans="2:4" x14ac:dyDescent="0.25">
      <c r="B16" s="9" t="s">
        <v>57</v>
      </c>
      <c r="C16" s="2" t="s">
        <v>54</v>
      </c>
      <c r="D16" s="13">
        <f>$D$14/$D$15-1</f>
      </c>
    </row>
    <row r="17" spans="2:4" x14ac:dyDescent="0.25">
      <c r="B17" s="2" t="s">
        <v>58</v>
      </c>
      <c r="C17" s="2" t="s">
        <v>4</v>
      </c>
      <c r="D17" s="2">
        <f>IF(ABS($D$16)&lt;=Inputs!$D$249,"In line with market price",IF($D$16&gt;0,"Above market price","Below market price"))</f>
      </c>
    </row>
    <row r="19" spans="2:7" x14ac:dyDescent="0.25">
      <c r="B19" s="3" t="s">
        <v>59</v>
      </c>
      <c r="C19" s="4"/>
      <c r="D19" s="4"/>
      <c r="E19" s="4"/>
      <c r="F19" s="4"/>
      <c r="G19" s="4"/>
    </row>
    <row r="20" spans="2:7" x14ac:dyDescent="0.25">
      <c r="B20" s="4"/>
      <c r="C20" s="3" t="s">
        <v>4</v>
      </c>
      <c r="D20" s="5" t="s">
        <v>5</v>
      </c>
      <c r="E20" s="4"/>
      <c r="F20" s="4"/>
      <c r="G20" s="3" t="s">
        <v>6</v>
      </c>
    </row>
    <row r="21" spans="2:4" x14ac:dyDescent="0.25">
      <c r="B21" s="2" t="s">
        <v>60</v>
      </c>
      <c r="C21" s="2" t="s">
        <v>61</v>
      </c>
      <c r="D21" s="14">
        <f>DCF!$D$59</f>
      </c>
    </row>
    <row r="22" spans="2:4" x14ac:dyDescent="0.25">
      <c r="B22" s="2" t="s">
        <v>62</v>
      </c>
      <c r="C22" s="2" t="s">
        <v>61</v>
      </c>
      <c r="D22" s="14">
        <f>DCF!$D$60</f>
      </c>
    </row>
    <row r="23" spans="2:4" x14ac:dyDescent="0.25">
      <c r="B23" s="2" t="s">
        <v>63</v>
      </c>
      <c r="C23" s="2" t="s">
        <v>61</v>
      </c>
      <c r="D23" s="14">
        <f>DCF!$D$61</f>
      </c>
    </row>
    <row r="24" spans="2:4" x14ac:dyDescent="0.25">
      <c r="B24" s="2" t="s">
        <v>64</v>
      </c>
      <c r="C24" s="2" t="s">
        <v>61</v>
      </c>
      <c r="D24" s="14">
        <f>DCF!$D$62</f>
      </c>
    </row>
    <row r="25" spans="2:4" x14ac:dyDescent="0.25">
      <c r="B25" s="2" t="s">
        <v>65</v>
      </c>
      <c r="C25" s="2" t="s">
        <v>54</v>
      </c>
      <c r="D25" s="11">
        <f>DCF!$D$31</f>
      </c>
    </row>
    <row r="27" spans="2:7" x14ac:dyDescent="0.25">
      <c r="B27" s="3" t="s">
        <v>66</v>
      </c>
      <c r="C27" s="4"/>
      <c r="D27" s="4"/>
      <c r="E27" s="4"/>
      <c r="F27" s="4"/>
      <c r="G27" s="4"/>
    </row>
    <row r="28" spans="2:7" x14ac:dyDescent="0.25">
      <c r="B28" s="4"/>
      <c r="C28" s="3" t="s">
        <v>4</v>
      </c>
      <c r="D28" s="5" t="s">
        <v>5</v>
      </c>
      <c r="E28" s="4"/>
      <c r="F28" s="4"/>
      <c r="G28" s="3" t="s">
        <v>6</v>
      </c>
    </row>
    <row r="29" spans="2:4" x14ac:dyDescent="0.25">
      <c r="B29" s="2" t="s">
        <v>33</v>
      </c>
      <c r="C29" s="2" t="s">
        <v>54</v>
      </c>
      <c r="D29" s="15">
        <f>WACC!$D$54</f>
      </c>
    </row>
    <row r="30" spans="2:4" x14ac:dyDescent="0.25">
      <c r="B30" s="2" t="s">
        <v>67</v>
      </c>
      <c r="C30" s="2" t="s">
        <v>54</v>
      </c>
      <c r="D30" s="15">
        <f>WACC!$D$30</f>
      </c>
    </row>
    <row r="31" spans="2:7" x14ac:dyDescent="0.25">
      <c r="B31" s="2" t="s">
        <v>68</v>
      </c>
      <c r="C31" s="2" t="s">
        <v>54</v>
      </c>
      <c r="D31" s="15">
        <f>WACC!$D$12</f>
      </c>
      <c r="G31" s="2" t="s">
        <v>69</v>
      </c>
    </row>
    <row r="32" spans="2:4" x14ac:dyDescent="0.25">
      <c r="B32" s="2" t="s">
        <v>70</v>
      </c>
      <c r="C32" s="2" t="s">
        <v>61</v>
      </c>
      <c r="D32" s="16">
        <f>WACC!$D$21</f>
      </c>
    </row>
    <row r="33" spans="2:4" x14ac:dyDescent="0.25">
      <c r="B33" s="2" t="s">
        <v>71</v>
      </c>
      <c r="C33" s="2" t="s">
        <v>54</v>
      </c>
      <c r="D33" s="15">
        <f>Inputs!$D$172</f>
      </c>
    </row>
    <row r="34" spans="2:4" x14ac:dyDescent="0.25">
      <c r="B34" s="2" t="s">
        <v>21</v>
      </c>
      <c r="C34" s="2" t="s">
        <v>4</v>
      </c>
      <c r="D34" s="2">
        <f>Inputs!$D$171</f>
      </c>
    </row>
    <row r="35" spans="2:4" x14ac:dyDescent="0.25">
      <c r="B35" s="2" t="s">
        <v>72</v>
      </c>
      <c r="C35" s="2" t="s">
        <v>54</v>
      </c>
      <c r="D35" s="15">
        <f>Inputs!$D$201*Inputs!$D$200</f>
      </c>
    </row>
    <row r="37" spans="2:7" x14ac:dyDescent="0.25">
      <c r="B37" s="3" t="s">
        <v>73</v>
      </c>
      <c r="C37" s="4"/>
      <c r="D37" s="4"/>
      <c r="E37" s="4"/>
      <c r="F37" s="4"/>
      <c r="G37" s="4"/>
    </row>
    <row r="38" spans="2:7" x14ac:dyDescent="0.25">
      <c r="B38" s="4"/>
      <c r="C38" s="3" t="s">
        <v>4</v>
      </c>
      <c r="D38" s="5" t="s">
        <v>74</v>
      </c>
      <c r="E38" s="5" t="s">
        <v>75</v>
      </c>
      <c r="F38" s="5" t="s">
        <v>76</v>
      </c>
      <c r="G38" s="3" t="s">
        <v>6</v>
      </c>
    </row>
    <row r="39" spans="2:6" x14ac:dyDescent="0.25">
      <c r="B39" s="2" t="s">
        <v>77</v>
      </c>
      <c r="C39" s="2" t="s">
        <v>14</v>
      </c>
      <c r="D39" s="8">
        <f>MIN(Sensitivity!$E$22:$G$24)</f>
      </c>
      <c r="E39" s="8">
        <f>DCF!$D$54</f>
      </c>
      <c r="F39" s="8">
        <f>MAX(Sensitivity!$E$22:$G$24)</f>
      </c>
    </row>
    <row r="40" spans="2:6" x14ac:dyDescent="0.25">
      <c r="B40" s="2" t="s">
        <v>78</v>
      </c>
      <c r="C40" s="2" t="s">
        <v>14</v>
      </c>
      <c r="D40" s="8">
        <f>MIN(DDM!$D$25,DDM!$D$27)</f>
      </c>
      <c r="E40" s="8">
        <f>DDM!$D$25</f>
      </c>
      <c r="F40" s="8">
        <f>MAX(DDM!$D$25,DDM!$D$27)</f>
      </c>
    </row>
    <row r="41" spans="2:6" x14ac:dyDescent="0.25">
      <c r="B41" s="2" t="s">
        <v>79</v>
      </c>
      <c r="C41" s="2" t="s">
        <v>14</v>
      </c>
      <c r="D41" s="8">
        <f>Scenarios!$D$60</f>
      </c>
      <c r="E41" s="8">
        <f>Scenarios!$D$20</f>
      </c>
      <c r="F41" s="8">
        <f>Scenarios!$D$134</f>
      </c>
    </row>
    <row r="42" spans="2:7" x14ac:dyDescent="0.25">
      <c r="B42" s="2" t="s">
        <v>80</v>
      </c>
      <c r="C42" s="2" t="s">
        <v>14</v>
      </c>
      <c r="D42" s="8">
        <f>Inputs!$D$294</f>
      </c>
      <c r="E42" s="8">
        <f>Inputs!$D$295</f>
      </c>
      <c r="F42" s="8">
        <f>Inputs!$D$296</f>
      </c>
      <c r="G42" s="2" t="s">
        <v>81</v>
      </c>
    </row>
    <row r="43" spans="2:5" x14ac:dyDescent="0.25">
      <c r="B43" s="2" t="s">
        <v>13</v>
      </c>
      <c r="C43" s="2" t="s">
        <v>14</v>
      </c>
      <c r="E43" s="8">
        <f>Inputs!$D$11</f>
      </c>
    </row>
  </sheetData>
  <pageMargins left="0.4" right="0.4" top="0.5" bottom="0.6" header="0.3" footer="0.3"/>
  <pageSetup paperSize="9" orientation="landscape" fitToWidth="1" fitToHeight="0"/>
  <headerFooter>
    <oddFooter>&amp;CMOPCO | Summary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296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2" customWidth="1"/>
    <col min="3" max="3" width="11" customWidth="1"/>
    <col min="4" max="9" width="17" customWidth="1"/>
    <col min="10" max="10" width="70" customWidth="1"/>
  </cols>
  <sheetData>
    <row r="2" spans="2:2" x14ac:dyDescent="0.25">
      <c r="B2" s="1" t="s">
        <v>82</v>
      </c>
    </row>
    <row r="3" spans="2:2" x14ac:dyDescent="0.25">
      <c r="B3" s="2" t="s">
        <v>83</v>
      </c>
    </row>
    <row r="4" spans="2:2" x14ac:dyDescent="0.25">
      <c r="B4" s="2" t="s">
        <v>2</v>
      </c>
    </row>
    <row r="6" spans="2:10" x14ac:dyDescent="0.25">
      <c r="B6" s="3" t="s">
        <v>84</v>
      </c>
      <c r="C6" s="4"/>
      <c r="D6" s="4"/>
      <c r="E6" s="4"/>
      <c r="F6" s="4"/>
      <c r="G6" s="4"/>
      <c r="H6" s="4"/>
      <c r="I6" s="4"/>
      <c r="J6" s="4"/>
    </row>
    <row r="7" spans="2:10" x14ac:dyDescent="0.25">
      <c r="B7" s="4"/>
      <c r="C7" s="3" t="s">
        <v>4</v>
      </c>
      <c r="D7" s="5" t="s">
        <v>5</v>
      </c>
      <c r="E7" s="4"/>
      <c r="F7" s="4"/>
      <c r="G7" s="4"/>
      <c r="H7" s="4"/>
      <c r="I7" s="4"/>
      <c r="J7" s="3" t="s">
        <v>6</v>
      </c>
    </row>
    <row r="8" spans="2:10" x14ac:dyDescent="0.25">
      <c r="B8" s="2" t="s">
        <v>7</v>
      </c>
      <c r="C8" s="2" t="s">
        <v>4</v>
      </c>
      <c r="D8" s="6" t="s">
        <v>8</v>
      </c>
      <c r="J8" s="2" t="s">
        <v>85</v>
      </c>
    </row>
    <row r="9" spans="2:10" x14ac:dyDescent="0.25">
      <c r="B9" s="2" t="s">
        <v>9</v>
      </c>
      <c r="C9" s="2" t="s">
        <v>4</v>
      </c>
      <c r="D9" s="6" t="s">
        <v>10</v>
      </c>
      <c r="J9" s="2" t="s">
        <v>85</v>
      </c>
    </row>
    <row r="10" spans="2:10" x14ac:dyDescent="0.25">
      <c r="B10" s="2" t="s">
        <v>11</v>
      </c>
      <c r="C10" s="2" t="s">
        <v>12</v>
      </c>
      <c r="D10" s="17">
        <v>46205</v>
      </c>
      <c r="J10" s="2" t="s">
        <v>86</v>
      </c>
    </row>
    <row r="11" spans="2:10" x14ac:dyDescent="0.25">
      <c r="B11" s="2" t="s">
        <v>13</v>
      </c>
      <c r="C11" s="2" t="s">
        <v>14</v>
      </c>
      <c r="D11" s="18">
        <v>36</v>
      </c>
      <c r="J11" s="2" t="s">
        <v>87</v>
      </c>
    </row>
    <row r="12" spans="2:10" x14ac:dyDescent="0.25">
      <c r="B12" s="2" t="s">
        <v>15</v>
      </c>
      <c r="C12" s="2" t="s">
        <v>12</v>
      </c>
      <c r="D12" s="17">
        <v>46204</v>
      </c>
      <c r="J12" s="2" t="s">
        <v>88</v>
      </c>
    </row>
    <row r="13" spans="2:10" x14ac:dyDescent="0.25">
      <c r="B13" s="2" t="s">
        <v>89</v>
      </c>
      <c r="C13" s="2" t="s">
        <v>90</v>
      </c>
      <c r="D13" s="19">
        <v>2868140263</v>
      </c>
      <c r="J13" s="2" t="s">
        <v>91</v>
      </c>
    </row>
    <row r="14" spans="2:10" x14ac:dyDescent="0.25">
      <c r="B14" s="2" t="s">
        <v>92</v>
      </c>
      <c r="C14" s="2" t="s">
        <v>90</v>
      </c>
      <c r="D14" s="19">
        <v>0</v>
      </c>
      <c r="J14" s="2" t="s">
        <v>93</v>
      </c>
    </row>
    <row r="15" spans="2:4" x14ac:dyDescent="0.25">
      <c r="B15" s="2" t="s">
        <v>94</v>
      </c>
      <c r="C15" s="2" t="s">
        <v>90</v>
      </c>
      <c r="D15" s="20">
        <f>$D$13+$D$14</f>
      </c>
    </row>
    <row r="16" spans="2:10" x14ac:dyDescent="0.25">
      <c r="B16" s="2" t="s">
        <v>95</v>
      </c>
      <c r="C16" s="2" t="s">
        <v>12</v>
      </c>
      <c r="D16" s="17">
        <v>46022</v>
      </c>
      <c r="J16" s="2" t="s">
        <v>96</v>
      </c>
    </row>
    <row r="17" spans="2:10" x14ac:dyDescent="0.25">
      <c r="B17" s="2" t="s">
        <v>97</v>
      </c>
      <c r="C17" s="2" t="s">
        <v>98</v>
      </c>
      <c r="D17" s="21">
        <v>1</v>
      </c>
      <c r="J17" s="2" t="s">
        <v>99</v>
      </c>
    </row>
    <row r="18" spans="2:10" x14ac:dyDescent="0.25">
      <c r="B18" s="2" t="s">
        <v>100</v>
      </c>
      <c r="C18" s="2" t="s">
        <v>101</v>
      </c>
      <c r="D18" s="21">
        <v>365</v>
      </c>
      <c r="J18" s="2" t="s">
        <v>102</v>
      </c>
    </row>
    <row r="19" spans="2:10" x14ac:dyDescent="0.25">
      <c r="B19" s="2" t="s">
        <v>103</v>
      </c>
      <c r="C19" s="2" t="s">
        <v>104</v>
      </c>
      <c r="D19" s="21">
        <v>5</v>
      </c>
      <c r="J19" s="2" t="s">
        <v>105</v>
      </c>
    </row>
    <row r="21" spans="2:10" x14ac:dyDescent="0.25">
      <c r="B21" s="3" t="s">
        <v>106</v>
      </c>
      <c r="C21" s="4"/>
      <c r="D21" s="4"/>
      <c r="E21" s="4"/>
      <c r="F21" s="4"/>
      <c r="G21" s="4"/>
      <c r="H21" s="4"/>
      <c r="I21" s="4"/>
      <c r="J21" s="4"/>
    </row>
    <row r="22" spans="2:10" x14ac:dyDescent="0.25">
      <c r="B22" s="4"/>
      <c r="C22" s="3" t="s">
        <v>14</v>
      </c>
      <c r="D22" s="5" t="s">
        <v>107</v>
      </c>
      <c r="E22" s="5" t="s">
        <v>108</v>
      </c>
      <c r="F22" s="4"/>
      <c r="G22" s="4"/>
      <c r="H22" s="4"/>
      <c r="I22" s="4"/>
      <c r="J22" s="3" t="s">
        <v>6</v>
      </c>
    </row>
    <row r="23" spans="2:10" x14ac:dyDescent="0.25">
      <c r="B23" s="2" t="s">
        <v>109</v>
      </c>
      <c r="C23" s="2" t="s">
        <v>14</v>
      </c>
      <c r="D23" s="19">
        <v>19650320858</v>
      </c>
      <c r="E23" s="19">
        <v>26844075576</v>
      </c>
      <c r="J23" s="2" t="s">
        <v>110</v>
      </c>
    </row>
    <row r="24" spans="2:10" x14ac:dyDescent="0.25">
      <c r="B24" s="2" t="s">
        <v>111</v>
      </c>
      <c r="C24" s="2" t="s">
        <v>14</v>
      </c>
      <c r="D24" s="19">
        <v>15069860384</v>
      </c>
      <c r="E24" s="19">
        <v>21466612052</v>
      </c>
      <c r="J24" s="2" t="s">
        <v>110</v>
      </c>
    </row>
    <row r="25" spans="2:10" x14ac:dyDescent="0.25">
      <c r="B25" s="2" t="s">
        <v>112</v>
      </c>
      <c r="C25" s="2" t="s">
        <v>14</v>
      </c>
      <c r="D25" s="19">
        <v>-10802884928</v>
      </c>
      <c r="E25" s="19">
        <v>-13307578650</v>
      </c>
      <c r="J25" s="2" t="s">
        <v>110</v>
      </c>
    </row>
    <row r="26" spans="2:10" x14ac:dyDescent="0.25">
      <c r="B26" s="2" t="s">
        <v>113</v>
      </c>
      <c r="C26" s="2" t="s">
        <v>14</v>
      </c>
      <c r="D26" s="19">
        <v>8847435930</v>
      </c>
      <c r="E26" s="19">
        <v>13536496926</v>
      </c>
      <c r="J26" s="2" t="s">
        <v>110</v>
      </c>
    </row>
    <row r="27" spans="2:10" x14ac:dyDescent="0.25">
      <c r="B27" s="2" t="s">
        <v>114</v>
      </c>
      <c r="C27" s="2" t="s">
        <v>14</v>
      </c>
      <c r="D27" s="19">
        <v>173469168</v>
      </c>
      <c r="E27" s="19">
        <v>273707416</v>
      </c>
      <c r="J27" s="2" t="s">
        <v>110</v>
      </c>
    </row>
    <row r="28" spans="2:10" x14ac:dyDescent="0.25">
      <c r="B28" s="2" t="s">
        <v>115</v>
      </c>
      <c r="C28" s="2" t="s">
        <v>14</v>
      </c>
      <c r="D28" s="19">
        <v>19299728</v>
      </c>
      <c r="E28" s="19">
        <v>160216876</v>
      </c>
      <c r="J28" s="2" t="s">
        <v>110</v>
      </c>
    </row>
    <row r="29" spans="2:10" x14ac:dyDescent="0.25">
      <c r="B29" s="2" t="s">
        <v>116</v>
      </c>
      <c r="C29" s="2" t="s">
        <v>14</v>
      </c>
      <c r="D29" s="19">
        <v>-531853525</v>
      </c>
      <c r="E29" s="19">
        <v>-526930783</v>
      </c>
      <c r="J29" s="2" t="s">
        <v>110</v>
      </c>
    </row>
    <row r="30" spans="2:10" x14ac:dyDescent="0.25">
      <c r="B30" s="2" t="s">
        <v>117</v>
      </c>
      <c r="C30" s="2" t="s">
        <v>14</v>
      </c>
      <c r="D30" s="19">
        <v>-591253894</v>
      </c>
      <c r="E30" s="19">
        <v>-648542515</v>
      </c>
      <c r="J30" s="2" t="s">
        <v>110</v>
      </c>
    </row>
    <row r="31" spans="2:10" x14ac:dyDescent="0.25">
      <c r="B31" s="2" t="s">
        <v>118</v>
      </c>
      <c r="C31" s="2" t="s">
        <v>14</v>
      </c>
      <c r="D31" s="19">
        <v>3619907</v>
      </c>
      <c r="E31" s="19">
        <v>13156038</v>
      </c>
      <c r="J31" s="2" t="s">
        <v>110</v>
      </c>
    </row>
    <row r="32" spans="2:10" x14ac:dyDescent="0.25">
      <c r="B32" s="2" t="s">
        <v>119</v>
      </c>
      <c r="C32" s="2" t="s">
        <v>14</v>
      </c>
      <c r="D32" s="19">
        <v>-233949210</v>
      </c>
      <c r="E32" s="19">
        <v>-44594149</v>
      </c>
      <c r="J32" s="2" t="s">
        <v>110</v>
      </c>
    </row>
    <row r="33" spans="2:10" x14ac:dyDescent="0.25">
      <c r="B33" s="2" t="s">
        <v>120</v>
      </c>
      <c r="C33" s="2" t="s">
        <v>14</v>
      </c>
      <c r="D33" s="19">
        <v>310962888</v>
      </c>
      <c r="E33" s="19">
        <v>0</v>
      </c>
      <c r="J33" s="2" t="s">
        <v>110</v>
      </c>
    </row>
    <row r="34" spans="2:10" x14ac:dyDescent="0.25">
      <c r="B34" s="2" t="s">
        <v>121</v>
      </c>
      <c r="C34" s="2" t="s">
        <v>14</v>
      </c>
      <c r="D34" s="19">
        <v>-390502424</v>
      </c>
      <c r="E34" s="19">
        <v>357037587</v>
      </c>
      <c r="J34" s="2" t="s">
        <v>110</v>
      </c>
    </row>
    <row r="35" spans="2:10" x14ac:dyDescent="0.25">
      <c r="B35" s="2" t="s">
        <v>122</v>
      </c>
      <c r="C35" s="2" t="s">
        <v>14</v>
      </c>
      <c r="D35" s="19">
        <v>0</v>
      </c>
      <c r="E35" s="19">
        <v>0</v>
      </c>
      <c r="J35" s="2" t="s">
        <v>110</v>
      </c>
    </row>
    <row r="36" spans="2:10" x14ac:dyDescent="0.25">
      <c r="B36" s="2" t="s">
        <v>123</v>
      </c>
      <c r="C36" s="2" t="s">
        <v>14</v>
      </c>
      <c r="D36" s="19">
        <v>7587928840</v>
      </c>
      <c r="E36" s="19">
        <v>12960330520</v>
      </c>
      <c r="J36" s="2" t="s">
        <v>110</v>
      </c>
    </row>
    <row r="37" spans="2:10" x14ac:dyDescent="0.25">
      <c r="B37" s="2" t="s">
        <v>124</v>
      </c>
      <c r="C37" s="2" t="s">
        <v>14</v>
      </c>
      <c r="D37" s="19">
        <v>2278100869</v>
      </c>
      <c r="E37" s="19">
        <v>2251247715</v>
      </c>
      <c r="J37" s="2" t="s">
        <v>110</v>
      </c>
    </row>
    <row r="38" spans="2:10" x14ac:dyDescent="0.25">
      <c r="B38" s="2" t="s">
        <v>125</v>
      </c>
      <c r="C38" s="2" t="s">
        <v>14</v>
      </c>
      <c r="D38" s="19">
        <v>0</v>
      </c>
      <c r="E38" s="19">
        <v>0</v>
      </c>
      <c r="J38" s="2" t="s">
        <v>110</v>
      </c>
    </row>
    <row r="39" spans="2:10" x14ac:dyDescent="0.25">
      <c r="B39" s="2" t="s">
        <v>126</v>
      </c>
      <c r="C39" s="2" t="s">
        <v>14</v>
      </c>
      <c r="D39" s="19">
        <v>-7271719</v>
      </c>
      <c r="E39" s="19">
        <v>-7072409</v>
      </c>
      <c r="J39" s="2" t="s">
        <v>110</v>
      </c>
    </row>
    <row r="40" spans="2:10" x14ac:dyDescent="0.25">
      <c r="B40" s="2" t="s">
        <v>127</v>
      </c>
      <c r="C40" s="2" t="s">
        <v>14</v>
      </c>
      <c r="D40" s="19">
        <v>-45137572</v>
      </c>
      <c r="E40" s="19">
        <v>-82744931</v>
      </c>
      <c r="J40" s="2" t="s">
        <v>110</v>
      </c>
    </row>
    <row r="41" spans="2:10" x14ac:dyDescent="0.25">
      <c r="B41" s="2" t="s">
        <v>128</v>
      </c>
      <c r="C41" s="2" t="s">
        <v>14</v>
      </c>
      <c r="D41" s="19">
        <v>0</v>
      </c>
      <c r="E41" s="19">
        <v>0</v>
      </c>
      <c r="J41" s="2" t="s">
        <v>110</v>
      </c>
    </row>
    <row r="42" spans="2:10" x14ac:dyDescent="0.25">
      <c r="B42" s="2" t="s">
        <v>129</v>
      </c>
      <c r="C42" s="2" t="s">
        <v>14</v>
      </c>
      <c r="D42" s="19">
        <v>9244689987</v>
      </c>
      <c r="E42" s="19">
        <v>-1093616444</v>
      </c>
      <c r="J42" s="2" t="s">
        <v>110</v>
      </c>
    </row>
    <row r="43" spans="2:10" x14ac:dyDescent="0.25">
      <c r="B43" s="2" t="s">
        <v>130</v>
      </c>
      <c r="C43" s="2" t="s">
        <v>14</v>
      </c>
      <c r="D43" s="19">
        <v>0</v>
      </c>
      <c r="E43" s="19">
        <v>0</v>
      </c>
      <c r="J43" s="2" t="s">
        <v>110</v>
      </c>
    </row>
    <row r="44" spans="2:10" x14ac:dyDescent="0.25">
      <c r="B44" s="2" t="s">
        <v>131</v>
      </c>
      <c r="C44" s="2" t="s">
        <v>14</v>
      </c>
      <c r="D44" s="19">
        <v>0</v>
      </c>
      <c r="E44" s="19">
        <v>0</v>
      </c>
      <c r="J44" s="2" t="s">
        <v>110</v>
      </c>
    </row>
    <row r="45" spans="2:10" x14ac:dyDescent="0.25">
      <c r="B45" s="2" t="s">
        <v>132</v>
      </c>
      <c r="C45" s="2" t="s">
        <v>14</v>
      </c>
      <c r="D45" s="19">
        <v>19058310405</v>
      </c>
      <c r="E45" s="19">
        <v>14028144451</v>
      </c>
      <c r="J45" s="2" t="s">
        <v>110</v>
      </c>
    </row>
    <row r="46" spans="2:10" x14ac:dyDescent="0.25">
      <c r="B46" s="2" t="s">
        <v>133</v>
      </c>
      <c r="C46" s="2" t="s">
        <v>14</v>
      </c>
      <c r="D46" s="19">
        <v>-3006164058</v>
      </c>
      <c r="E46" s="19">
        <v>-3315742675</v>
      </c>
      <c r="J46" s="2" t="s">
        <v>110</v>
      </c>
    </row>
    <row r="47" spans="2:10" x14ac:dyDescent="0.25">
      <c r="B47" s="2" t="s">
        <v>134</v>
      </c>
      <c r="C47" s="2" t="s">
        <v>14</v>
      </c>
      <c r="D47" s="19">
        <v>-932406979</v>
      </c>
      <c r="E47" s="19">
        <v>584138511</v>
      </c>
      <c r="J47" s="2" t="s">
        <v>110</v>
      </c>
    </row>
    <row r="48" spans="2:10" x14ac:dyDescent="0.25">
      <c r="B48" s="2" t="s">
        <v>135</v>
      </c>
      <c r="C48" s="2" t="s">
        <v>14</v>
      </c>
      <c r="D48" s="19">
        <v>-3938571037</v>
      </c>
      <c r="E48" s="19">
        <v>-2731604164</v>
      </c>
      <c r="J48" s="2" t="s">
        <v>110</v>
      </c>
    </row>
    <row r="49" spans="2:10" x14ac:dyDescent="0.25">
      <c r="B49" s="2" t="s">
        <v>136</v>
      </c>
      <c r="C49" s="2" t="s">
        <v>14</v>
      </c>
      <c r="D49" s="19">
        <v>15119739368</v>
      </c>
      <c r="E49" s="19">
        <v>11296540287</v>
      </c>
      <c r="J49" s="2" t="s">
        <v>110</v>
      </c>
    </row>
    <row r="50" spans="2:10" x14ac:dyDescent="0.25">
      <c r="B50" s="2" t="s">
        <v>137</v>
      </c>
      <c r="C50" s="2" t="s">
        <v>14</v>
      </c>
      <c r="D50" s="19">
        <v>0</v>
      </c>
      <c r="E50" s="19">
        <v>0</v>
      </c>
      <c r="J50" s="2" t="s">
        <v>110</v>
      </c>
    </row>
    <row r="51" spans="2:10" x14ac:dyDescent="0.25">
      <c r="B51" s="2" t="s">
        <v>138</v>
      </c>
      <c r="C51" s="2" t="s">
        <v>14</v>
      </c>
      <c r="D51" s="19">
        <v>2219254113</v>
      </c>
      <c r="E51" s="19">
        <v>2283209560</v>
      </c>
      <c r="J51" s="2" t="s">
        <v>110</v>
      </c>
    </row>
    <row r="52" spans="2:10" x14ac:dyDescent="0.25">
      <c r="B52" s="2" t="s">
        <v>139</v>
      </c>
      <c r="C52" s="2" t="s">
        <v>14</v>
      </c>
      <c r="D52" s="19">
        <v>18900491</v>
      </c>
      <c r="E52" s="19">
        <v>35519470</v>
      </c>
      <c r="J52" s="2" t="s">
        <v>110</v>
      </c>
    </row>
    <row r="53" spans="2:10" x14ac:dyDescent="0.25">
      <c r="B53" s="2" t="s">
        <v>140</v>
      </c>
      <c r="C53" s="2" t="s">
        <v>14</v>
      </c>
      <c r="D53" s="18">
        <v>5.27</v>
      </c>
      <c r="E53" s="18">
        <v>3.94</v>
      </c>
      <c r="J53" s="2" t="s">
        <v>110</v>
      </c>
    </row>
    <row r="55" spans="2:10" x14ac:dyDescent="0.25">
      <c r="B55" s="3" t="s">
        <v>141</v>
      </c>
      <c r="C55" s="4"/>
      <c r="D55" s="4"/>
      <c r="E55" s="4"/>
      <c r="F55" s="4"/>
      <c r="G55" s="4"/>
      <c r="H55" s="4"/>
      <c r="I55" s="4"/>
      <c r="J55" s="4"/>
    </row>
    <row r="56" spans="2:10" x14ac:dyDescent="0.25">
      <c r="B56" s="4"/>
      <c r="C56" s="3" t="s">
        <v>14</v>
      </c>
      <c r="D56" s="5" t="s">
        <v>107</v>
      </c>
      <c r="E56" s="5" t="s">
        <v>108</v>
      </c>
      <c r="F56" s="4"/>
      <c r="G56" s="4"/>
      <c r="H56" s="4"/>
      <c r="I56" s="4"/>
      <c r="J56" s="3" t="s">
        <v>6</v>
      </c>
    </row>
    <row r="57" spans="2:10" x14ac:dyDescent="0.25">
      <c r="B57" s="2" t="s">
        <v>142</v>
      </c>
      <c r="C57" s="2" t="s">
        <v>14</v>
      </c>
      <c r="D57" s="19">
        <v>34632006997</v>
      </c>
      <c r="E57" s="19">
        <v>38192488081</v>
      </c>
      <c r="J57" s="2" t="s">
        <v>110</v>
      </c>
    </row>
    <row r="58" spans="2:10" x14ac:dyDescent="0.25">
      <c r="B58" s="2" t="s">
        <v>143</v>
      </c>
      <c r="C58" s="2" t="s">
        <v>14</v>
      </c>
      <c r="D58" s="19">
        <v>68215075</v>
      </c>
      <c r="E58" s="19">
        <v>79638512</v>
      </c>
      <c r="J58" s="2" t="s">
        <v>110</v>
      </c>
    </row>
    <row r="59" spans="2:10" x14ac:dyDescent="0.25">
      <c r="B59" s="2" t="s">
        <v>144</v>
      </c>
      <c r="C59" s="2" t="s">
        <v>14</v>
      </c>
      <c r="D59" s="19">
        <v>88041967</v>
      </c>
      <c r="E59" s="19">
        <v>72034336</v>
      </c>
      <c r="J59" s="2" t="s">
        <v>110</v>
      </c>
    </row>
    <row r="60" spans="2:10" x14ac:dyDescent="0.25">
      <c r="B60" s="2" t="s">
        <v>145</v>
      </c>
      <c r="C60" s="2" t="s">
        <v>14</v>
      </c>
      <c r="D60" s="19">
        <v>0</v>
      </c>
      <c r="E60" s="19">
        <v>0</v>
      </c>
      <c r="J60" s="2" t="s">
        <v>110</v>
      </c>
    </row>
    <row r="61" spans="2:10" x14ac:dyDescent="0.25">
      <c r="B61" s="2" t="s">
        <v>146</v>
      </c>
      <c r="C61" s="2" t="s">
        <v>14</v>
      </c>
      <c r="D61" s="19">
        <v>2407651</v>
      </c>
      <c r="E61" s="19">
        <v>2424170</v>
      </c>
      <c r="J61" s="2" t="s">
        <v>110</v>
      </c>
    </row>
    <row r="62" spans="2:10" x14ac:dyDescent="0.25">
      <c r="B62" s="2" t="s">
        <v>147</v>
      </c>
      <c r="C62" s="2" t="s">
        <v>14</v>
      </c>
      <c r="D62" s="19">
        <v>5562646156</v>
      </c>
      <c r="E62" s="19">
        <v>10659141927</v>
      </c>
      <c r="J62" s="2" t="s">
        <v>110</v>
      </c>
    </row>
    <row r="63" spans="2:10" x14ac:dyDescent="0.25">
      <c r="B63" s="2" t="s">
        <v>148</v>
      </c>
      <c r="C63" s="2" t="s">
        <v>14</v>
      </c>
      <c r="D63" s="19">
        <v>1131212791</v>
      </c>
      <c r="E63" s="19">
        <v>1010115488</v>
      </c>
      <c r="J63" s="2" t="s">
        <v>110</v>
      </c>
    </row>
    <row r="64" spans="2:10" x14ac:dyDescent="0.25">
      <c r="B64" s="2" t="s">
        <v>149</v>
      </c>
      <c r="C64" s="2" t="s">
        <v>14</v>
      </c>
      <c r="D64" s="19">
        <v>0</v>
      </c>
      <c r="E64" s="19">
        <v>0</v>
      </c>
      <c r="J64" s="2" t="s">
        <v>110</v>
      </c>
    </row>
    <row r="65" spans="2:10" x14ac:dyDescent="0.25">
      <c r="B65" s="2" t="s">
        <v>150</v>
      </c>
      <c r="C65" s="2" t="s">
        <v>14</v>
      </c>
      <c r="D65" s="19">
        <v>0</v>
      </c>
      <c r="E65" s="19">
        <v>0</v>
      </c>
      <c r="J65" s="2" t="s">
        <v>110</v>
      </c>
    </row>
    <row r="66" spans="2:10" x14ac:dyDescent="0.25">
      <c r="B66" s="2" t="s">
        <v>151</v>
      </c>
      <c r="C66" s="2" t="s">
        <v>14</v>
      </c>
      <c r="D66" s="19">
        <v>1713951385</v>
      </c>
      <c r="E66" s="19">
        <v>1927396704</v>
      </c>
      <c r="J66" s="2" t="s">
        <v>110</v>
      </c>
    </row>
    <row r="67" spans="2:10" x14ac:dyDescent="0.25">
      <c r="B67" s="2" t="s">
        <v>152</v>
      </c>
      <c r="C67" s="2" t="s">
        <v>14</v>
      </c>
      <c r="D67" s="19">
        <v>541148818</v>
      </c>
      <c r="E67" s="19">
        <v>1446674104</v>
      </c>
      <c r="J67" s="2" t="s">
        <v>110</v>
      </c>
    </row>
    <row r="68" spans="2:10" x14ac:dyDescent="0.25">
      <c r="B68" s="2" t="s">
        <v>153</v>
      </c>
      <c r="C68" s="2" t="s">
        <v>14</v>
      </c>
      <c r="D68" s="19">
        <v>3827217186</v>
      </c>
      <c r="E68" s="19">
        <v>734010745</v>
      </c>
      <c r="J68" s="2" t="s">
        <v>110</v>
      </c>
    </row>
    <row r="69" spans="2:10" x14ac:dyDescent="0.25">
      <c r="B69" s="2" t="s">
        <v>154</v>
      </c>
      <c r="C69" s="2" t="s">
        <v>14</v>
      </c>
      <c r="D69" s="19">
        <v>2869467104</v>
      </c>
      <c r="E69" s="19">
        <v>2573762308</v>
      </c>
      <c r="J69" s="2" t="s">
        <v>110</v>
      </c>
    </row>
    <row r="70" spans="2:10" x14ac:dyDescent="0.25">
      <c r="B70" s="2" t="s">
        <v>155</v>
      </c>
      <c r="C70" s="2" t="s">
        <v>14</v>
      </c>
      <c r="D70" s="19">
        <v>845817862</v>
      </c>
      <c r="E70" s="19">
        <v>1449408364</v>
      </c>
      <c r="J70" s="2" t="s">
        <v>110</v>
      </c>
    </row>
    <row r="71" spans="2:10" x14ac:dyDescent="0.25">
      <c r="B71" s="2" t="s">
        <v>156</v>
      </c>
      <c r="C71" s="2" t="s">
        <v>14</v>
      </c>
      <c r="D71" s="19">
        <v>42873</v>
      </c>
      <c r="E71" s="19">
        <v>0</v>
      </c>
      <c r="J71" s="2" t="s">
        <v>110</v>
      </c>
    </row>
    <row r="72" spans="2:10" x14ac:dyDescent="0.25">
      <c r="B72" s="2" t="s">
        <v>157</v>
      </c>
      <c r="C72" s="2" t="s">
        <v>14</v>
      </c>
      <c r="D72" s="19">
        <v>40559983</v>
      </c>
      <c r="E72" s="19">
        <v>75072047</v>
      </c>
      <c r="J72" s="2" t="s">
        <v>110</v>
      </c>
    </row>
    <row r="73" spans="2:10" x14ac:dyDescent="0.25">
      <c r="B73" s="2" t="s">
        <v>158</v>
      </c>
      <c r="C73" s="2" t="s">
        <v>14</v>
      </c>
      <c r="D73" s="19">
        <v>0</v>
      </c>
      <c r="E73" s="19">
        <v>0</v>
      </c>
      <c r="J73" s="2" t="s">
        <v>110</v>
      </c>
    </row>
    <row r="74" spans="2:10" x14ac:dyDescent="0.25">
      <c r="B74" s="2" t="s">
        <v>159</v>
      </c>
      <c r="C74" s="2" t="s">
        <v>14</v>
      </c>
      <c r="D74" s="19">
        <v>6679913892</v>
      </c>
      <c r="E74" s="19">
        <v>2971664846</v>
      </c>
      <c r="J74" s="2" t="s">
        <v>110</v>
      </c>
    </row>
    <row r="75" spans="2:10" x14ac:dyDescent="0.25">
      <c r="B75" s="2" t="s">
        <v>160</v>
      </c>
      <c r="C75" s="2" t="s">
        <v>14</v>
      </c>
      <c r="D75" s="19">
        <v>58002649740</v>
      </c>
      <c r="E75" s="19">
        <v>61193831633</v>
      </c>
      <c r="J75" s="2" t="s">
        <v>110</v>
      </c>
    </row>
    <row r="76" spans="2:10" x14ac:dyDescent="0.25">
      <c r="B76" s="2" t="s">
        <v>161</v>
      </c>
      <c r="C76" s="2" t="s">
        <v>14</v>
      </c>
      <c r="D76" s="19">
        <v>20791840110</v>
      </c>
      <c r="E76" s="19">
        <v>28681402630</v>
      </c>
      <c r="J76" s="2" t="s">
        <v>110</v>
      </c>
    </row>
    <row r="77" spans="2:10" x14ac:dyDescent="0.25">
      <c r="B77" s="2" t="s">
        <v>162</v>
      </c>
      <c r="C77" s="2" t="s">
        <v>14</v>
      </c>
      <c r="D77" s="19">
        <v>1212315306</v>
      </c>
      <c r="E77" s="19">
        <v>1968302274</v>
      </c>
      <c r="J77" s="2" t="s">
        <v>110</v>
      </c>
    </row>
    <row r="78" spans="2:10" x14ac:dyDescent="0.25">
      <c r="B78" s="2" t="s">
        <v>163</v>
      </c>
      <c r="C78" s="2" t="s">
        <v>14</v>
      </c>
      <c r="D78" s="19">
        <v>352383742</v>
      </c>
      <c r="E78" s="19">
        <v>352383742</v>
      </c>
      <c r="J78" s="2" t="s">
        <v>110</v>
      </c>
    </row>
    <row r="79" spans="2:10" x14ac:dyDescent="0.25">
      <c r="B79" s="2" t="s">
        <v>164</v>
      </c>
      <c r="C79" s="2" t="s">
        <v>14</v>
      </c>
      <c r="D79" s="19">
        <v>15132261531</v>
      </c>
      <c r="E79" s="19">
        <v>16804480294</v>
      </c>
      <c r="J79" s="2" t="s">
        <v>110</v>
      </c>
    </row>
    <row r="80" spans="2:10" x14ac:dyDescent="0.25">
      <c r="B80" s="2" t="s">
        <v>165</v>
      </c>
      <c r="C80" s="2" t="s">
        <v>14</v>
      </c>
      <c r="D80" s="19">
        <v>7889562509</v>
      </c>
      <c r="E80" s="19">
        <v>0</v>
      </c>
      <c r="J80" s="2" t="s">
        <v>110</v>
      </c>
    </row>
    <row r="81" spans="2:10" x14ac:dyDescent="0.25">
      <c r="B81" s="2" t="s">
        <v>166</v>
      </c>
      <c r="C81" s="2" t="s">
        <v>14</v>
      </c>
      <c r="D81" s="19">
        <v>0</v>
      </c>
      <c r="E81" s="19">
        <v>0</v>
      </c>
      <c r="J81" s="2" t="s">
        <v>110</v>
      </c>
    </row>
    <row r="82" spans="2:10" x14ac:dyDescent="0.25">
      <c r="B82" s="2" t="s">
        <v>167</v>
      </c>
      <c r="C82" s="2" t="s">
        <v>14</v>
      </c>
      <c r="D82" s="19">
        <v>0</v>
      </c>
      <c r="E82" s="19">
        <v>0</v>
      </c>
      <c r="J82" s="2" t="s">
        <v>110</v>
      </c>
    </row>
    <row r="83" spans="2:10" x14ac:dyDescent="0.25">
      <c r="B83" s="2" t="s">
        <v>168</v>
      </c>
      <c r="C83" s="2" t="s">
        <v>14</v>
      </c>
      <c r="D83" s="19">
        <v>45378363198</v>
      </c>
      <c r="E83" s="19">
        <v>47806568940</v>
      </c>
      <c r="J83" s="2" t="s">
        <v>110</v>
      </c>
    </row>
    <row r="84" spans="2:10" x14ac:dyDescent="0.25">
      <c r="B84" s="2" t="s">
        <v>169</v>
      </c>
      <c r="C84" s="2" t="s">
        <v>14</v>
      </c>
      <c r="D84" s="19">
        <v>0</v>
      </c>
      <c r="E84" s="19">
        <v>0</v>
      </c>
      <c r="J84" s="2" t="s">
        <v>110</v>
      </c>
    </row>
    <row r="85" spans="2:10" x14ac:dyDescent="0.25">
      <c r="B85" s="2" t="s">
        <v>170</v>
      </c>
      <c r="C85" s="2" t="s">
        <v>14</v>
      </c>
      <c r="D85" s="19">
        <v>0</v>
      </c>
      <c r="E85" s="19">
        <v>0</v>
      </c>
      <c r="J85" s="2" t="s">
        <v>110</v>
      </c>
    </row>
    <row r="86" spans="2:10" x14ac:dyDescent="0.25">
      <c r="B86" s="2" t="s">
        <v>171</v>
      </c>
      <c r="C86" s="2" t="s">
        <v>14</v>
      </c>
      <c r="D86" s="19">
        <v>165150556</v>
      </c>
      <c r="E86" s="19">
        <v>119068258</v>
      </c>
      <c r="J86" s="2" t="s">
        <v>110</v>
      </c>
    </row>
    <row r="87" spans="2:10" x14ac:dyDescent="0.25">
      <c r="B87" s="2" t="s">
        <v>172</v>
      </c>
      <c r="C87" s="2" t="s">
        <v>14</v>
      </c>
      <c r="D87" s="19">
        <v>7767168024</v>
      </c>
      <c r="E87" s="19">
        <v>7169688279</v>
      </c>
      <c r="J87" s="2" t="s">
        <v>110</v>
      </c>
    </row>
    <row r="88" spans="2:10" x14ac:dyDescent="0.25">
      <c r="B88" s="2" t="s">
        <v>173</v>
      </c>
      <c r="C88" s="2" t="s">
        <v>14</v>
      </c>
      <c r="D88" s="19">
        <v>531376168</v>
      </c>
      <c r="E88" s="19">
        <v>616126433</v>
      </c>
      <c r="J88" s="2" t="s">
        <v>110</v>
      </c>
    </row>
    <row r="89" spans="2:10" x14ac:dyDescent="0.25">
      <c r="B89" s="2" t="s">
        <v>174</v>
      </c>
      <c r="C89" s="2" t="s">
        <v>14</v>
      </c>
      <c r="D89" s="19">
        <v>0</v>
      </c>
      <c r="E89" s="19">
        <v>0</v>
      </c>
      <c r="J89" s="2" t="s">
        <v>110</v>
      </c>
    </row>
    <row r="90" spans="2:10" x14ac:dyDescent="0.25">
      <c r="B90" s="2" t="s">
        <v>175</v>
      </c>
      <c r="C90" s="2" t="s">
        <v>14</v>
      </c>
      <c r="D90" s="19">
        <v>0</v>
      </c>
      <c r="E90" s="19">
        <v>0</v>
      </c>
      <c r="J90" s="2" t="s">
        <v>110</v>
      </c>
    </row>
    <row r="91" spans="2:10" x14ac:dyDescent="0.25">
      <c r="B91" s="2" t="s">
        <v>176</v>
      </c>
      <c r="C91" s="2" t="s">
        <v>14</v>
      </c>
      <c r="D91" s="19">
        <v>26425248</v>
      </c>
      <c r="E91" s="19">
        <v>30901794</v>
      </c>
      <c r="J91" s="2" t="s">
        <v>110</v>
      </c>
    </row>
    <row r="92" spans="2:10" x14ac:dyDescent="0.25">
      <c r="B92" s="2" t="s">
        <v>177</v>
      </c>
      <c r="C92" s="2" t="s">
        <v>14</v>
      </c>
      <c r="D92" s="19">
        <v>2913267306</v>
      </c>
      <c r="E92" s="19">
        <v>3260993930</v>
      </c>
      <c r="J92" s="2" t="s">
        <v>110</v>
      </c>
    </row>
    <row r="93" spans="2:10" x14ac:dyDescent="0.25">
      <c r="B93" s="2" t="s">
        <v>178</v>
      </c>
      <c r="C93" s="2" t="s">
        <v>14</v>
      </c>
      <c r="D93" s="19">
        <v>397661913</v>
      </c>
      <c r="E93" s="19">
        <v>571060350</v>
      </c>
      <c r="J93" s="2" t="s">
        <v>110</v>
      </c>
    </row>
    <row r="94" spans="2:10" x14ac:dyDescent="0.25">
      <c r="B94" s="2" t="s">
        <v>179</v>
      </c>
      <c r="C94" s="2" t="s">
        <v>14</v>
      </c>
      <c r="D94" s="19">
        <v>429516144</v>
      </c>
      <c r="E94" s="19">
        <v>1102966124</v>
      </c>
      <c r="J94" s="2" t="s">
        <v>110</v>
      </c>
    </row>
    <row r="95" spans="2:10" x14ac:dyDescent="0.25">
      <c r="B95" s="2" t="s">
        <v>180</v>
      </c>
      <c r="C95" s="2" t="s">
        <v>14</v>
      </c>
      <c r="D95" s="19">
        <v>135401296</v>
      </c>
      <c r="E95" s="19">
        <v>386154612</v>
      </c>
      <c r="J95" s="2" t="s">
        <v>110</v>
      </c>
    </row>
    <row r="96" spans="2:10" x14ac:dyDescent="0.25">
      <c r="B96" s="2" t="s">
        <v>181</v>
      </c>
      <c r="C96" s="2" t="s">
        <v>14</v>
      </c>
      <c r="D96" s="19">
        <v>3063879</v>
      </c>
      <c r="E96" s="19">
        <v>75958208</v>
      </c>
      <c r="J96" s="2" t="s">
        <v>110</v>
      </c>
    </row>
    <row r="97" spans="2:10" x14ac:dyDescent="0.25">
      <c r="B97" s="2" t="s">
        <v>182</v>
      </c>
      <c r="C97" s="2" t="s">
        <v>14</v>
      </c>
      <c r="D97" s="19">
        <v>255256008</v>
      </c>
      <c r="E97" s="19">
        <v>54344705</v>
      </c>
      <c r="J97" s="2" t="s">
        <v>110</v>
      </c>
    </row>
    <row r="98" spans="2:10" x14ac:dyDescent="0.25">
      <c r="B98" s="2" t="s">
        <v>183</v>
      </c>
      <c r="C98" s="2" t="s">
        <v>14</v>
      </c>
      <c r="D98" s="19">
        <v>0</v>
      </c>
      <c r="E98" s="19">
        <v>0</v>
      </c>
      <c r="J98" s="2" t="s">
        <v>110</v>
      </c>
    </row>
    <row r="99" spans="2:10" x14ac:dyDescent="0.25">
      <c r="B99" s="2" t="s">
        <v>184</v>
      </c>
      <c r="C99" s="2" t="s">
        <v>14</v>
      </c>
      <c r="D99" s="19">
        <v>0</v>
      </c>
      <c r="E99" s="19">
        <v>0</v>
      </c>
      <c r="J99" s="2" t="s">
        <v>110</v>
      </c>
    </row>
    <row r="100" spans="2:10" x14ac:dyDescent="0.25">
      <c r="B100" s="2" t="s">
        <v>185</v>
      </c>
      <c r="C100" s="2" t="s">
        <v>14</v>
      </c>
      <c r="D100" s="19">
        <v>12624286542</v>
      </c>
      <c r="E100" s="19">
        <v>13387262693</v>
      </c>
      <c r="J100" s="2" t="s">
        <v>110</v>
      </c>
    </row>
    <row r="102" spans="2:10" x14ac:dyDescent="0.25">
      <c r="B102" s="3" t="s">
        <v>186</v>
      </c>
      <c r="C102" s="4"/>
      <c r="D102" s="4"/>
      <c r="E102" s="4"/>
      <c r="F102" s="4"/>
      <c r="G102" s="4"/>
      <c r="H102" s="4"/>
      <c r="I102" s="4"/>
      <c r="J102" s="4"/>
    </row>
    <row r="103" spans="2:10" x14ac:dyDescent="0.25">
      <c r="B103" s="4"/>
      <c r="C103" s="3" t="s">
        <v>14</v>
      </c>
      <c r="D103" s="5" t="s">
        <v>107</v>
      </c>
      <c r="E103" s="5" t="s">
        <v>108</v>
      </c>
      <c r="F103" s="4"/>
      <c r="G103" s="4"/>
      <c r="H103" s="4"/>
      <c r="I103" s="4"/>
      <c r="J103" s="3" t="s">
        <v>6</v>
      </c>
    </row>
    <row r="104" spans="2:10" x14ac:dyDescent="0.25">
      <c r="B104" s="2" t="s">
        <v>187</v>
      </c>
      <c r="C104" s="2" t="s">
        <v>14</v>
      </c>
      <c r="D104" s="19">
        <v>11871965105</v>
      </c>
      <c r="E104" s="19">
        <v>14242562977</v>
      </c>
      <c r="J104" s="2" t="s">
        <v>110</v>
      </c>
    </row>
    <row r="105" spans="2:10" x14ac:dyDescent="0.25">
      <c r="B105" s="2" t="s">
        <v>188</v>
      </c>
      <c r="C105" s="2" t="s">
        <v>14</v>
      </c>
      <c r="D105" s="19">
        <v>-977311347</v>
      </c>
      <c r="E105" s="19">
        <v>-1545237364</v>
      </c>
      <c r="J105" s="2" t="s">
        <v>110</v>
      </c>
    </row>
    <row r="106" spans="2:10" x14ac:dyDescent="0.25">
      <c r="B106" s="2" t="s">
        <v>189</v>
      </c>
      <c r="C106" s="2" t="s">
        <v>14</v>
      </c>
      <c r="D106" s="19">
        <v>-2735903582</v>
      </c>
      <c r="E106" s="19">
        <v>-2997048224</v>
      </c>
      <c r="J106" s="2" t="s">
        <v>110</v>
      </c>
    </row>
    <row r="107" spans="2:10" x14ac:dyDescent="0.25">
      <c r="B107" s="2" t="s">
        <v>190</v>
      </c>
      <c r="C107" s="2" t="s">
        <v>14</v>
      </c>
      <c r="D107" s="19">
        <v>-7650510</v>
      </c>
      <c r="E107" s="19">
        <v>-14889098</v>
      </c>
      <c r="J107" s="2" t="s">
        <v>110</v>
      </c>
    </row>
    <row r="108" spans="2:10" x14ac:dyDescent="0.25">
      <c r="B108" s="2" t="s">
        <v>191</v>
      </c>
      <c r="C108" s="2" t="s">
        <v>14</v>
      </c>
      <c r="D108" s="19">
        <v>0</v>
      </c>
      <c r="E108" s="19">
        <v>0</v>
      </c>
      <c r="J108" s="2" t="s">
        <v>110</v>
      </c>
    </row>
    <row r="109" spans="2:10" x14ac:dyDescent="0.25">
      <c r="B109" s="2" t="s">
        <v>192</v>
      </c>
      <c r="C109" s="2" t="s">
        <v>14</v>
      </c>
      <c r="D109" s="19">
        <v>8151099666</v>
      </c>
      <c r="E109" s="19">
        <v>9685388291</v>
      </c>
      <c r="J109" s="2" t="s">
        <v>110</v>
      </c>
    </row>
    <row r="110" spans="2:10" x14ac:dyDescent="0.25">
      <c r="B110" s="2" t="s">
        <v>193</v>
      </c>
      <c r="C110" s="2" t="s">
        <v>14</v>
      </c>
      <c r="D110" s="19">
        <v>1520913784</v>
      </c>
      <c r="E110" s="19">
        <v>2046816410</v>
      </c>
      <c r="J110" s="2" t="s">
        <v>110</v>
      </c>
    </row>
    <row r="111" spans="2:10" x14ac:dyDescent="0.25">
      <c r="B111" s="2" t="s">
        <v>194</v>
      </c>
      <c r="C111" s="2" t="s">
        <v>14</v>
      </c>
      <c r="D111" s="19">
        <v>-1275986560</v>
      </c>
      <c r="E111" s="19">
        <v>-5848069006</v>
      </c>
      <c r="J111" s="2" t="s">
        <v>110</v>
      </c>
    </row>
    <row r="112" spans="2:10" x14ac:dyDescent="0.25">
      <c r="B112" s="2" t="s">
        <v>195</v>
      </c>
      <c r="C112" s="2" t="s">
        <v>14</v>
      </c>
      <c r="D112" s="19">
        <v>-11955401802</v>
      </c>
      <c r="E112" s="19">
        <v>-7277190123</v>
      </c>
      <c r="J112" s="2" t="s">
        <v>110</v>
      </c>
    </row>
    <row r="113" spans="2:10" x14ac:dyDescent="0.25">
      <c r="B113" s="2" t="s">
        <v>196</v>
      </c>
      <c r="C113" s="2" t="s">
        <v>14</v>
      </c>
      <c r="D113" s="19">
        <v>-33209307</v>
      </c>
      <c r="E113" s="19">
        <v>-37991816</v>
      </c>
      <c r="J113" s="2" t="s">
        <v>110</v>
      </c>
    </row>
    <row r="114" spans="2:10" x14ac:dyDescent="0.25">
      <c r="B114" s="2" t="s">
        <v>197</v>
      </c>
      <c r="C114" s="2" t="s">
        <v>14</v>
      </c>
      <c r="D114" s="19">
        <v>-3639978381</v>
      </c>
      <c r="E114" s="19">
        <v>-3553233614</v>
      </c>
      <c r="J114" s="2" t="s">
        <v>110</v>
      </c>
    </row>
    <row r="116" spans="2:10" x14ac:dyDescent="0.25">
      <c r="B116" s="3" t="s">
        <v>198</v>
      </c>
      <c r="C116" s="4"/>
      <c r="D116" s="4"/>
      <c r="E116" s="4"/>
      <c r="F116" s="4"/>
      <c r="G116" s="4"/>
      <c r="H116" s="4"/>
      <c r="I116" s="4"/>
      <c r="J116" s="4"/>
    </row>
    <row r="117" spans="2:10" x14ac:dyDescent="0.25">
      <c r="B117" s="4"/>
      <c r="C117" s="3" t="s">
        <v>4</v>
      </c>
      <c r="D117" s="5" t="s">
        <v>199</v>
      </c>
      <c r="E117" s="4"/>
      <c r="F117" s="4"/>
      <c r="G117" s="4"/>
      <c r="H117" s="4"/>
      <c r="I117" s="4"/>
      <c r="J117" s="3" t="s">
        <v>6</v>
      </c>
    </row>
    <row r="118" spans="2:10" x14ac:dyDescent="0.25">
      <c r="B118" s="2" t="s">
        <v>121</v>
      </c>
      <c r="C118" s="2" t="s">
        <v>98</v>
      </c>
      <c r="D118" s="21">
        <v>1</v>
      </c>
      <c r="J118" s="2" t="s">
        <v>200</v>
      </c>
    </row>
    <row r="119" spans="2:10" x14ac:dyDescent="0.25">
      <c r="B119" s="2" t="s">
        <v>201</v>
      </c>
      <c r="C119" s="2" t="s">
        <v>98</v>
      </c>
      <c r="D119" s="21">
        <v>1</v>
      </c>
      <c r="J119" s="2" t="s">
        <v>202</v>
      </c>
    </row>
    <row r="120" spans="2:10" x14ac:dyDescent="0.25">
      <c r="B120" s="2" t="s">
        <v>203</v>
      </c>
      <c r="C120" s="2" t="s">
        <v>98</v>
      </c>
      <c r="D120" s="21">
        <v>1</v>
      </c>
      <c r="J120" s="2" t="s">
        <v>204</v>
      </c>
    </row>
    <row r="122" spans="2:10" x14ac:dyDescent="0.25">
      <c r="B122" s="3" t="s">
        <v>205</v>
      </c>
      <c r="C122" s="4"/>
      <c r="D122" s="4"/>
      <c r="E122" s="4"/>
      <c r="F122" s="4"/>
      <c r="G122" s="4"/>
      <c r="H122" s="4"/>
      <c r="I122" s="4"/>
      <c r="J122" s="4"/>
    </row>
    <row r="123" spans="2:10" x14ac:dyDescent="0.25">
      <c r="B123" s="4"/>
      <c r="C123" s="3" t="s">
        <v>4</v>
      </c>
      <c r="D123" s="5" t="s">
        <v>5</v>
      </c>
      <c r="E123" s="4"/>
      <c r="F123" s="4"/>
      <c r="G123" s="4"/>
      <c r="H123" s="4"/>
      <c r="I123" s="4"/>
      <c r="J123" s="3" t="s">
        <v>6</v>
      </c>
    </row>
    <row r="124" spans="2:10" x14ac:dyDescent="0.25">
      <c r="B124" s="2" t="s">
        <v>206</v>
      </c>
      <c r="C124" s="2" t="s">
        <v>54</v>
      </c>
      <c r="D124" s="22">
        <v>0.2158</v>
      </c>
      <c r="J124" s="2" t="s">
        <v>207</v>
      </c>
    </row>
    <row r="125" spans="2:10" x14ac:dyDescent="0.25">
      <c r="B125" s="2" t="s">
        <v>208</v>
      </c>
      <c r="C125" s="2" t="s">
        <v>54</v>
      </c>
      <c r="D125" s="22">
        <v>0.23146999999999998</v>
      </c>
      <c r="J125" s="2" t="s">
        <v>209</v>
      </c>
    </row>
    <row r="126" spans="2:10" x14ac:dyDescent="0.25">
      <c r="B126" s="2" t="s">
        <v>210</v>
      </c>
      <c r="C126" s="2" t="s">
        <v>54</v>
      </c>
      <c r="D126" s="22">
        <v>0.102044276177</v>
      </c>
      <c r="J126" s="2" t="s">
        <v>211</v>
      </c>
    </row>
    <row r="127" spans="2:10" x14ac:dyDescent="0.25">
      <c r="B127" s="2" t="s">
        <v>212</v>
      </c>
      <c r="C127" s="2" t="s">
        <v>54</v>
      </c>
      <c r="D127" s="22">
        <v>0.051</v>
      </c>
      <c r="J127" s="2" t="s">
        <v>213</v>
      </c>
    </row>
    <row r="128" spans="2:10" x14ac:dyDescent="0.25">
      <c r="B128" s="2" t="s">
        <v>214</v>
      </c>
      <c r="C128" s="2" t="s">
        <v>54</v>
      </c>
      <c r="D128" s="22">
        <v>0.08216666666669999</v>
      </c>
      <c r="J128" s="2" t="s">
        <v>211</v>
      </c>
    </row>
    <row r="129" spans="2:10" x14ac:dyDescent="0.25">
      <c r="B129" s="2" t="s">
        <v>215</v>
      </c>
      <c r="C129" s="2" t="s">
        <v>54</v>
      </c>
      <c r="D129" s="22">
        <v>0.0235</v>
      </c>
      <c r="J129" s="2" t="s">
        <v>211</v>
      </c>
    </row>
    <row r="130" spans="2:10" x14ac:dyDescent="0.25">
      <c r="B130" s="2" t="s">
        <v>216</v>
      </c>
      <c r="C130" s="2" t="s">
        <v>54</v>
      </c>
      <c r="D130" s="22">
        <v>0.042</v>
      </c>
      <c r="J130" s="2" t="s">
        <v>217</v>
      </c>
    </row>
    <row r="131" spans="2:10" x14ac:dyDescent="0.25">
      <c r="B131" s="2" t="s">
        <v>218</v>
      </c>
      <c r="C131" s="2" t="s">
        <v>54</v>
      </c>
      <c r="D131" s="22">
        <v>0.0928062276282</v>
      </c>
      <c r="J131" s="2" t="s">
        <v>217</v>
      </c>
    </row>
    <row r="132" spans="2:10" x14ac:dyDescent="0.25">
      <c r="B132" s="2" t="s">
        <v>219</v>
      </c>
      <c r="C132" s="2" t="s">
        <v>54</v>
      </c>
      <c r="D132" s="22">
        <v>0.0597018299895</v>
      </c>
      <c r="J132" s="2" t="s">
        <v>217</v>
      </c>
    </row>
    <row r="133" spans="2:10" x14ac:dyDescent="0.25">
      <c r="B133" s="2" t="s">
        <v>220</v>
      </c>
      <c r="C133" s="2" t="s">
        <v>54</v>
      </c>
      <c r="D133" s="22">
        <v>0.225</v>
      </c>
      <c r="J133" s="2" t="s">
        <v>221</v>
      </c>
    </row>
    <row r="134" spans="2:10" x14ac:dyDescent="0.25">
      <c r="B134" s="2" t="s">
        <v>222</v>
      </c>
      <c r="C134" s="2" t="s">
        <v>223</v>
      </c>
      <c r="D134" s="23">
        <v>51.9</v>
      </c>
      <c r="J134" s="2" t="s">
        <v>224</v>
      </c>
    </row>
    <row r="135" spans="2:10" x14ac:dyDescent="0.25">
      <c r="B135" s="2" t="s">
        <v>225</v>
      </c>
      <c r="C135" s="2" t="s">
        <v>54</v>
      </c>
      <c r="D135" s="22">
        <v>0.2</v>
      </c>
      <c r="J135" s="2" t="s">
        <v>226</v>
      </c>
    </row>
    <row r="136" spans="2:10" x14ac:dyDescent="0.25">
      <c r="B136" s="2" t="s">
        <v>227</v>
      </c>
      <c r="C136" s="2" t="s">
        <v>61</v>
      </c>
      <c r="D136" s="23">
        <v>1.0605126494627473</v>
      </c>
      <c r="J136" s="2" t="s">
        <v>228</v>
      </c>
    </row>
    <row r="138" spans="2:10" x14ac:dyDescent="0.25">
      <c r="B138" s="3" t="s">
        <v>229</v>
      </c>
      <c r="C138" s="4"/>
      <c r="D138" s="4"/>
      <c r="E138" s="4"/>
      <c r="F138" s="4"/>
      <c r="G138" s="4"/>
      <c r="H138" s="4"/>
      <c r="I138" s="4"/>
      <c r="J138" s="4"/>
    </row>
    <row r="139" spans="2:10" x14ac:dyDescent="0.25">
      <c r="B139" s="4"/>
      <c r="C139" s="3" t="s">
        <v>4</v>
      </c>
      <c r="D139" s="5" t="s">
        <v>230</v>
      </c>
      <c r="E139" s="5" t="s">
        <v>231</v>
      </c>
      <c r="F139" s="5" t="s">
        <v>232</v>
      </c>
      <c r="G139" s="4"/>
      <c r="H139" s="4"/>
      <c r="I139" s="4"/>
      <c r="J139" s="3" t="s">
        <v>6</v>
      </c>
    </row>
    <row r="140" spans="2:10" x14ac:dyDescent="0.25">
      <c r="B140" s="2" t="s">
        <v>4</v>
      </c>
      <c r="C140" s="2" t="s">
        <v>4</v>
      </c>
      <c r="D140" s="24">
        <v>-100000</v>
      </c>
      <c r="E140" s="6" t="s">
        <v>233</v>
      </c>
      <c r="F140" s="22">
        <v>0.19</v>
      </c>
      <c r="J140" s="2" t="s">
        <v>234</v>
      </c>
    </row>
    <row r="141" spans="2:10" x14ac:dyDescent="0.25">
      <c r="B141" s="2" t="s">
        <v>4</v>
      </c>
      <c r="C141" s="2" t="s">
        <v>4</v>
      </c>
      <c r="D141" s="24">
        <v>0.5</v>
      </c>
      <c r="E141" s="6" t="s">
        <v>235</v>
      </c>
      <c r="F141" s="22">
        <v>0.16</v>
      </c>
      <c r="J141" s="2" t="s">
        <v>234</v>
      </c>
    </row>
    <row r="142" spans="2:10" x14ac:dyDescent="0.25">
      <c r="B142" s="2" t="s">
        <v>4</v>
      </c>
      <c r="C142" s="2" t="s">
        <v>4</v>
      </c>
      <c r="D142" s="24">
        <v>0.8</v>
      </c>
      <c r="E142" s="6" t="s">
        <v>236</v>
      </c>
      <c r="F142" s="22">
        <v>0.1261</v>
      </c>
      <c r="J142" s="2" t="s">
        <v>234</v>
      </c>
    </row>
    <row r="143" spans="2:10" x14ac:dyDescent="0.25">
      <c r="B143" s="2" t="s">
        <v>4</v>
      </c>
      <c r="C143" s="2" t="s">
        <v>4</v>
      </c>
      <c r="D143" s="24">
        <v>1.25</v>
      </c>
      <c r="E143" s="6" t="s">
        <v>237</v>
      </c>
      <c r="F143" s="22">
        <v>0.0885</v>
      </c>
      <c r="J143" s="2" t="s">
        <v>234</v>
      </c>
    </row>
    <row r="144" spans="2:10" x14ac:dyDescent="0.25">
      <c r="B144" s="2" t="s">
        <v>4</v>
      </c>
      <c r="C144" s="2" t="s">
        <v>4</v>
      </c>
      <c r="D144" s="24">
        <v>1.5</v>
      </c>
      <c r="E144" s="6" t="s">
        <v>238</v>
      </c>
      <c r="F144" s="22">
        <v>0.0509</v>
      </c>
      <c r="J144" s="2" t="s">
        <v>234</v>
      </c>
    </row>
    <row r="145" spans="2:10" x14ac:dyDescent="0.25">
      <c r="B145" s="2" t="s">
        <v>4</v>
      </c>
      <c r="C145" s="2" t="s">
        <v>4</v>
      </c>
      <c r="D145" s="24">
        <v>2</v>
      </c>
      <c r="E145" s="6" t="s">
        <v>239</v>
      </c>
      <c r="F145" s="22">
        <v>0.0321</v>
      </c>
      <c r="J145" s="2" t="s">
        <v>234</v>
      </c>
    </row>
    <row r="146" spans="2:10" x14ac:dyDescent="0.25">
      <c r="B146" s="2" t="s">
        <v>4</v>
      </c>
      <c r="C146" s="2" t="s">
        <v>4</v>
      </c>
      <c r="D146" s="24">
        <v>2.5</v>
      </c>
      <c r="E146" s="6" t="s">
        <v>240</v>
      </c>
      <c r="F146" s="22">
        <v>0.0275</v>
      </c>
      <c r="J146" s="2" t="s">
        <v>234</v>
      </c>
    </row>
    <row r="147" spans="2:10" x14ac:dyDescent="0.25">
      <c r="B147" s="2" t="s">
        <v>4</v>
      </c>
      <c r="C147" s="2" t="s">
        <v>4</v>
      </c>
      <c r="D147" s="24">
        <v>3</v>
      </c>
      <c r="E147" s="6" t="s">
        <v>241</v>
      </c>
      <c r="F147" s="22">
        <v>0.0184</v>
      </c>
      <c r="J147" s="2" t="s">
        <v>234</v>
      </c>
    </row>
    <row r="148" spans="2:10" x14ac:dyDescent="0.25">
      <c r="B148" s="2" t="s">
        <v>4</v>
      </c>
      <c r="C148" s="2" t="s">
        <v>4</v>
      </c>
      <c r="D148" s="24">
        <v>3.5</v>
      </c>
      <c r="E148" s="6" t="s">
        <v>242</v>
      </c>
      <c r="F148" s="22">
        <v>0.0138</v>
      </c>
      <c r="J148" s="2" t="s">
        <v>234</v>
      </c>
    </row>
    <row r="149" spans="2:10" x14ac:dyDescent="0.25">
      <c r="B149" s="2" t="s">
        <v>4</v>
      </c>
      <c r="C149" s="2" t="s">
        <v>4</v>
      </c>
      <c r="D149" s="24">
        <v>4</v>
      </c>
      <c r="E149" s="6" t="s">
        <v>243</v>
      </c>
      <c r="F149" s="22">
        <v>0.0111</v>
      </c>
      <c r="J149" s="2" t="s">
        <v>234</v>
      </c>
    </row>
    <row r="150" spans="2:10" x14ac:dyDescent="0.25">
      <c r="B150" s="2" t="s">
        <v>4</v>
      </c>
      <c r="C150" s="2" t="s">
        <v>4</v>
      </c>
      <c r="D150" s="24">
        <v>4.5</v>
      </c>
      <c r="E150" s="6" t="s">
        <v>244</v>
      </c>
      <c r="F150" s="22">
        <v>0.0089</v>
      </c>
      <c r="J150" s="2" t="s">
        <v>234</v>
      </c>
    </row>
    <row r="151" spans="2:10" x14ac:dyDescent="0.25">
      <c r="B151" s="2" t="s">
        <v>4</v>
      </c>
      <c r="C151" s="2" t="s">
        <v>4</v>
      </c>
      <c r="D151" s="24">
        <v>6</v>
      </c>
      <c r="E151" s="6" t="s">
        <v>245</v>
      </c>
      <c r="F151" s="22">
        <v>0.0078000000000000005</v>
      </c>
      <c r="J151" s="2" t="s">
        <v>234</v>
      </c>
    </row>
    <row r="152" spans="2:10" x14ac:dyDescent="0.25">
      <c r="B152" s="2" t="s">
        <v>4</v>
      </c>
      <c r="C152" s="2" t="s">
        <v>4</v>
      </c>
      <c r="D152" s="24">
        <v>7.5</v>
      </c>
      <c r="E152" s="6" t="s">
        <v>246</v>
      </c>
      <c r="F152" s="22">
        <v>0.006999999999999999</v>
      </c>
      <c r="J152" s="2" t="s">
        <v>234</v>
      </c>
    </row>
    <row r="153" spans="2:10" x14ac:dyDescent="0.25">
      <c r="B153" s="2" t="s">
        <v>4</v>
      </c>
      <c r="C153" s="2" t="s">
        <v>4</v>
      </c>
      <c r="D153" s="24">
        <v>9.5</v>
      </c>
      <c r="E153" s="6" t="s">
        <v>247</v>
      </c>
      <c r="F153" s="22">
        <v>0.0055000000000000005</v>
      </c>
      <c r="J153" s="2" t="s">
        <v>234</v>
      </c>
    </row>
    <row r="154" spans="2:10" x14ac:dyDescent="0.25">
      <c r="B154" s="2" t="s">
        <v>4</v>
      </c>
      <c r="C154" s="2" t="s">
        <v>4</v>
      </c>
      <c r="D154" s="24">
        <v>12.5</v>
      </c>
      <c r="E154" s="6" t="s">
        <v>248</v>
      </c>
      <c r="F154" s="22">
        <v>0.004</v>
      </c>
      <c r="J154" s="2" t="s">
        <v>234</v>
      </c>
    </row>
    <row r="156" spans="2:10" x14ac:dyDescent="0.25">
      <c r="B156" s="3" t="s">
        <v>249</v>
      </c>
      <c r="C156" s="4"/>
      <c r="D156" s="4"/>
      <c r="E156" s="4"/>
      <c r="F156" s="4"/>
      <c r="G156" s="4"/>
      <c r="H156" s="4"/>
      <c r="I156" s="4"/>
      <c r="J156" s="4"/>
    </row>
    <row r="157" spans="2:10" x14ac:dyDescent="0.25">
      <c r="B157" s="4"/>
      <c r="C157" s="3" t="s">
        <v>4</v>
      </c>
      <c r="D157" s="5" t="s">
        <v>5</v>
      </c>
      <c r="E157" s="4"/>
      <c r="F157" s="4"/>
      <c r="G157" s="4"/>
      <c r="H157" s="4"/>
      <c r="I157" s="4"/>
      <c r="J157" s="3" t="s">
        <v>6</v>
      </c>
    </row>
    <row r="158" spans="2:10" x14ac:dyDescent="0.25">
      <c r="B158" s="2" t="s">
        <v>250</v>
      </c>
      <c r="C158" s="2" t="s">
        <v>251</v>
      </c>
      <c r="D158" s="6" t="s">
        <v>252</v>
      </c>
      <c r="J158" s="2" t="s">
        <v>99</v>
      </c>
    </row>
    <row r="159" spans="2:10" x14ac:dyDescent="0.25">
      <c r="B159" s="2" t="s">
        <v>253</v>
      </c>
      <c r="C159" s="2" t="s">
        <v>54</v>
      </c>
      <c r="D159" s="15">
        <f>Inputs!$D$125</f>
      </c>
      <c r="J159" s="2" t="s">
        <v>254</v>
      </c>
    </row>
    <row r="160" spans="2:10" x14ac:dyDescent="0.25">
      <c r="B160" s="2" t="s">
        <v>255</v>
      </c>
      <c r="C160" s="2" t="s">
        <v>251</v>
      </c>
      <c r="D160" s="6" t="s">
        <v>256</v>
      </c>
      <c r="J160" s="2" t="s">
        <v>99</v>
      </c>
    </row>
    <row r="161" spans="2:10" x14ac:dyDescent="0.25">
      <c r="B161" s="2" t="s">
        <v>257</v>
      </c>
      <c r="C161" s="2" t="s">
        <v>61</v>
      </c>
      <c r="D161" s="24">
        <v>1</v>
      </c>
      <c r="J161" s="2" t="s">
        <v>99</v>
      </c>
    </row>
    <row r="162" spans="2:10" x14ac:dyDescent="0.25">
      <c r="B162" s="2" t="s">
        <v>258</v>
      </c>
      <c r="C162" s="2" t="s">
        <v>54</v>
      </c>
      <c r="D162" s="22">
        <v>0</v>
      </c>
      <c r="J162" s="2" t="s">
        <v>259</v>
      </c>
    </row>
    <row r="163" spans="2:10" x14ac:dyDescent="0.25">
      <c r="B163" s="2" t="s">
        <v>260</v>
      </c>
      <c r="C163" s="2" t="s">
        <v>54</v>
      </c>
      <c r="D163" s="22">
        <v>0.225</v>
      </c>
      <c r="J163" s="2" t="s">
        <v>261</v>
      </c>
    </row>
    <row r="164" spans="2:10" x14ac:dyDescent="0.25">
      <c r="B164" s="2" t="s">
        <v>262</v>
      </c>
      <c r="C164" s="2" t="s">
        <v>251</v>
      </c>
      <c r="D164" s="6" t="s">
        <v>263</v>
      </c>
      <c r="J164" s="2" t="s">
        <v>99</v>
      </c>
    </row>
    <row r="165" spans="2:10" x14ac:dyDescent="0.25">
      <c r="B165" s="2" t="s">
        <v>264</v>
      </c>
      <c r="C165" s="2" t="s">
        <v>54</v>
      </c>
      <c r="D165" s="22">
        <v>0</v>
      </c>
      <c r="J165" s="2" t="s">
        <v>265</v>
      </c>
    </row>
    <row r="166" spans="2:10" x14ac:dyDescent="0.25">
      <c r="B166" s="2" t="s">
        <v>266</v>
      </c>
      <c r="C166" s="2" t="s">
        <v>251</v>
      </c>
      <c r="D166" s="6" t="s">
        <v>267</v>
      </c>
      <c r="J166" s="2" t="s">
        <v>99</v>
      </c>
    </row>
    <row r="167" spans="2:10" x14ac:dyDescent="0.25">
      <c r="B167" s="2" t="s">
        <v>268</v>
      </c>
      <c r="C167" s="2" t="s">
        <v>54</v>
      </c>
      <c r="D167" s="25">
        <v>0</v>
      </c>
      <c r="J167" s="2" t="s">
        <v>269</v>
      </c>
    </row>
    <row r="169" spans="2:10" x14ac:dyDescent="0.25">
      <c r="B169" s="3" t="s">
        <v>270</v>
      </c>
      <c r="C169" s="4"/>
      <c r="D169" s="4"/>
      <c r="E169" s="4"/>
      <c r="F169" s="4"/>
      <c r="G169" s="4"/>
      <c r="H169" s="4"/>
      <c r="I169" s="4"/>
      <c r="J169" s="4"/>
    </row>
    <row r="170" spans="2:10" x14ac:dyDescent="0.25">
      <c r="B170" s="4"/>
      <c r="C170" s="3" t="s">
        <v>4</v>
      </c>
      <c r="D170" s="5" t="s">
        <v>5</v>
      </c>
      <c r="E170" s="4"/>
      <c r="F170" s="4"/>
      <c r="G170" s="4"/>
      <c r="H170" s="4"/>
      <c r="I170" s="4"/>
      <c r="J170" s="3" t="s">
        <v>6</v>
      </c>
    </row>
    <row r="171" spans="2:10" x14ac:dyDescent="0.25">
      <c r="B171" s="2" t="s">
        <v>271</v>
      </c>
      <c r="C171" s="2" t="s">
        <v>251</v>
      </c>
      <c r="D171" s="6" t="s">
        <v>22</v>
      </c>
      <c r="J171" s="2" t="s">
        <v>99</v>
      </c>
    </row>
    <row r="172" spans="2:10" x14ac:dyDescent="0.25">
      <c r="B172" s="2" t="s">
        <v>71</v>
      </c>
      <c r="C172" s="2" t="s">
        <v>54</v>
      </c>
      <c r="D172" s="22">
        <v>0.1</v>
      </c>
      <c r="J172" s="2" t="s">
        <v>272</v>
      </c>
    </row>
    <row r="173" spans="2:10" x14ac:dyDescent="0.25">
      <c r="B173" s="2" t="s">
        <v>273</v>
      </c>
      <c r="C173" s="2" t="s">
        <v>61</v>
      </c>
      <c r="D173" s="26">
        <v>5.659015819072451</v>
      </c>
      <c r="J173" s="2" t="s">
        <v>274</v>
      </c>
    </row>
    <row r="174" spans="2:10" x14ac:dyDescent="0.25">
      <c r="B174" s="2" t="s">
        <v>275</v>
      </c>
      <c r="C174" s="2" t="s">
        <v>54</v>
      </c>
      <c r="D174" s="25">
        <v>0.11</v>
      </c>
      <c r="J174" s="2" t="s">
        <v>99</v>
      </c>
    </row>
    <row r="175" spans="2:10" x14ac:dyDescent="0.25">
      <c r="B175" s="2" t="s">
        <v>276</v>
      </c>
      <c r="C175" s="2" t="s">
        <v>54</v>
      </c>
      <c r="D175" s="22"/>
      <c r="J175" s="2" t="s">
        <v>277</v>
      </c>
    </row>
    <row r="176" spans="2:10" x14ac:dyDescent="0.25">
      <c r="B176" s="2" t="s">
        <v>278</v>
      </c>
      <c r="C176" s="2" t="s">
        <v>54</v>
      </c>
      <c r="D176" s="25">
        <v>0.85</v>
      </c>
      <c r="J176" s="2" t="s">
        <v>279</v>
      </c>
    </row>
    <row r="178" spans="2:10" x14ac:dyDescent="0.25">
      <c r="B178" s="3" t="s">
        <v>280</v>
      </c>
      <c r="C178" s="4"/>
      <c r="D178" s="4"/>
      <c r="E178" s="4"/>
      <c r="F178" s="4"/>
      <c r="G178" s="4"/>
      <c r="H178" s="4"/>
      <c r="I178" s="4"/>
      <c r="J178" s="4"/>
    </row>
    <row r="179" spans="2:10" x14ac:dyDescent="0.25">
      <c r="B179" s="4"/>
      <c r="C179" s="3" t="s">
        <v>4</v>
      </c>
      <c r="D179" s="5" t="s">
        <v>281</v>
      </c>
      <c r="E179" s="5" t="s">
        <v>282</v>
      </c>
      <c r="F179" s="5" t="s">
        <v>283</v>
      </c>
      <c r="G179" s="5" t="s">
        <v>284</v>
      </c>
      <c r="H179" s="5" t="s">
        <v>285</v>
      </c>
      <c r="I179" s="5" t="s">
        <v>286</v>
      </c>
      <c r="J179" s="3" t="s">
        <v>6</v>
      </c>
    </row>
    <row r="180" spans="2:10" x14ac:dyDescent="0.25">
      <c r="B180" s="2" t="s">
        <v>287</v>
      </c>
      <c r="C180" s="2" t="s">
        <v>251</v>
      </c>
      <c r="D180" s="6" t="s">
        <v>288</v>
      </c>
      <c r="J180" s="2" t="s">
        <v>99</v>
      </c>
    </row>
    <row r="181" spans="2:10" x14ac:dyDescent="0.25">
      <c r="B181" s="2" t="s">
        <v>289</v>
      </c>
      <c r="C181" s="2" t="s">
        <v>251</v>
      </c>
      <c r="D181" s="6" t="s">
        <v>290</v>
      </c>
      <c r="J181" s="2" t="s">
        <v>291</v>
      </c>
    </row>
    <row r="182" spans="2:10" x14ac:dyDescent="0.25">
      <c r="B182" s="2" t="s">
        <v>292</v>
      </c>
      <c r="C182" s="2" t="s">
        <v>54</v>
      </c>
      <c r="D182" s="25">
        <v>0.3660884099544508</v>
      </c>
      <c r="E182" s="25">
        <v>0.29956630746583807</v>
      </c>
      <c r="F182" s="25">
        <v>0.2330442049772254</v>
      </c>
      <c r="G182" s="25">
        <v>0.16652210248861268</v>
      </c>
      <c r="H182" s="25">
        <v>0.1</v>
      </c>
      <c r="I182" s="11">
        <f>Inputs!$D$172</f>
      </c>
      <c r="J182" s="2" t="s">
        <v>293</v>
      </c>
    </row>
    <row r="183" spans="2:10" x14ac:dyDescent="0.25">
      <c r="B183" s="2" t="s">
        <v>294</v>
      </c>
      <c r="C183" s="2" t="s">
        <v>54</v>
      </c>
      <c r="D183" s="25">
        <v>0.590641533216938</v>
      </c>
      <c r="E183" s="25">
        <v>0.590641533216938</v>
      </c>
      <c r="F183" s="25">
        <v>0.590641533216938</v>
      </c>
      <c r="G183" s="25">
        <v>0.590641533216938</v>
      </c>
      <c r="H183" s="25">
        <v>0.590641533216938</v>
      </c>
      <c r="I183" s="25">
        <v>0.590641533216938</v>
      </c>
      <c r="J183" s="2" t="s">
        <v>295</v>
      </c>
    </row>
    <row r="184" spans="2:10" x14ac:dyDescent="0.25">
      <c r="B184" s="2" t="s">
        <v>296</v>
      </c>
      <c r="C184" s="2" t="s">
        <v>297</v>
      </c>
      <c r="D184" s="25">
        <v>0.043788928200266815</v>
      </c>
      <c r="E184" s="25">
        <v>0.043788928200266815</v>
      </c>
      <c r="F184" s="25">
        <v>0.043788928200266815</v>
      </c>
      <c r="G184" s="25">
        <v>0.043788928200266815</v>
      </c>
      <c r="H184" s="25">
        <v>0.043788928200266815</v>
      </c>
      <c r="I184" s="25">
        <v>0.043788928200266815</v>
      </c>
      <c r="J184" s="2" t="s">
        <v>295</v>
      </c>
    </row>
    <row r="185" spans="2:10" x14ac:dyDescent="0.25">
      <c r="B185" s="2" t="s">
        <v>298</v>
      </c>
      <c r="C185" s="2" t="s">
        <v>297</v>
      </c>
      <c r="D185" s="25">
        <v>0.002566539898345278</v>
      </c>
      <c r="E185" s="25">
        <v>0.002566539898345278</v>
      </c>
      <c r="F185" s="25">
        <v>0.002566539898345278</v>
      </c>
      <c r="G185" s="25">
        <v>0.002566539898345278</v>
      </c>
      <c r="H185" s="25">
        <v>0.002566539898345278</v>
      </c>
      <c r="I185" s="25">
        <v>0.002566539898345278</v>
      </c>
      <c r="J185" s="2" t="s">
        <v>295</v>
      </c>
    </row>
    <row r="186" spans="2:10" x14ac:dyDescent="0.25">
      <c r="B186" s="2" t="s">
        <v>299</v>
      </c>
      <c r="C186" s="2" t="s">
        <v>297</v>
      </c>
      <c r="D186" s="25">
        <v>0.08637768223514705</v>
      </c>
      <c r="E186" s="25">
        <v>0.08637768223514705</v>
      </c>
      <c r="F186" s="25">
        <v>0.08637768223514705</v>
      </c>
      <c r="G186" s="25">
        <v>0.08637768223514705</v>
      </c>
      <c r="H186" s="25">
        <v>0.08637768223514705</v>
      </c>
      <c r="I186" s="25">
        <v>0.08637768223514705</v>
      </c>
      <c r="J186" s="2" t="s">
        <v>295</v>
      </c>
    </row>
    <row r="187" spans="2:10" x14ac:dyDescent="0.25">
      <c r="B187" s="2" t="s">
        <v>300</v>
      </c>
      <c r="C187" s="2" t="s">
        <v>54</v>
      </c>
      <c r="D187" s="25">
        <v>0.06592772865279749</v>
      </c>
      <c r="E187" s="25">
        <v>0.06592772865279749</v>
      </c>
      <c r="F187" s="25">
        <v>0.06592772865279749</v>
      </c>
      <c r="G187" s="25">
        <v>0.06592772865279749</v>
      </c>
      <c r="H187" s="25">
        <v>0.06592772865279749</v>
      </c>
      <c r="I187" s="25">
        <v>0.06592772865279749</v>
      </c>
      <c r="J187" s="2" t="s">
        <v>295</v>
      </c>
    </row>
    <row r="188" spans="2:10" x14ac:dyDescent="0.25">
      <c r="B188" s="2" t="s">
        <v>301</v>
      </c>
      <c r="C188" s="2" t="s">
        <v>297</v>
      </c>
      <c r="D188" s="25">
        <v>0.001323177246295501</v>
      </c>
      <c r="E188" s="25">
        <v>0.001323177246295501</v>
      </c>
      <c r="F188" s="25">
        <v>0.001323177246295501</v>
      </c>
      <c r="G188" s="25">
        <v>0.001323177246295501</v>
      </c>
      <c r="H188" s="25">
        <v>0.001323177246295501</v>
      </c>
      <c r="I188" s="25">
        <v>0.001323177246295501</v>
      </c>
      <c r="J188" s="2" t="s">
        <v>295</v>
      </c>
    </row>
    <row r="189" spans="2:10" x14ac:dyDescent="0.25">
      <c r="B189" s="2" t="s">
        <v>194</v>
      </c>
      <c r="C189" s="2" t="s">
        <v>297</v>
      </c>
      <c r="D189" s="25">
        <v>0.21785324621975352</v>
      </c>
      <c r="E189" s="25">
        <v>0.21709816823693093</v>
      </c>
      <c r="F189" s="25">
        <v>0.21634309025410833</v>
      </c>
      <c r="G189" s="25">
        <v>0.21558801227128574</v>
      </c>
      <c r="H189" s="25">
        <v>0.21483293428846312</v>
      </c>
      <c r="I189" s="25">
        <v>0.21483293428846312</v>
      </c>
      <c r="J189" s="2" t="s">
        <v>302</v>
      </c>
    </row>
    <row r="190" spans="2:10" x14ac:dyDescent="0.25">
      <c r="B190" s="2" t="s">
        <v>303</v>
      </c>
      <c r="C190" s="2" t="s">
        <v>14</v>
      </c>
      <c r="D190" s="19">
        <v>5848069006</v>
      </c>
      <c r="E190" s="19">
        <v>4386051754.5</v>
      </c>
      <c r="F190" s="19">
        <v>2924034503</v>
      </c>
      <c r="G190" s="19">
        <v>1462017251.5</v>
      </c>
      <c r="H190" s="19">
        <v>0</v>
      </c>
      <c r="I190" s="19">
        <v>0</v>
      </c>
      <c r="J190" s="2" t="s">
        <v>295</v>
      </c>
    </row>
    <row r="191" spans="2:10" x14ac:dyDescent="0.25">
      <c r="B191" s="2" t="s">
        <v>304</v>
      </c>
      <c r="C191" s="2" t="s">
        <v>101</v>
      </c>
      <c r="D191" s="27">
        <v>19.670487309762</v>
      </c>
      <c r="E191" s="27">
        <v>19.670487309762</v>
      </c>
      <c r="F191" s="27">
        <v>19.670487309762</v>
      </c>
      <c r="G191" s="27">
        <v>19.670487309762</v>
      </c>
      <c r="H191" s="27">
        <v>19.670487309762</v>
      </c>
      <c r="I191" s="27">
        <v>19.670487309762</v>
      </c>
      <c r="J191" s="2" t="s">
        <v>295</v>
      </c>
    </row>
    <row r="192" spans="2:10" x14ac:dyDescent="0.25">
      <c r="B192" s="2" t="s">
        <v>305</v>
      </c>
      <c r="C192" s="2" t="s">
        <v>101</v>
      </c>
      <c r="D192" s="27">
        <v>64.01942162167835</v>
      </c>
      <c r="E192" s="27">
        <v>64.01942162167835</v>
      </c>
      <c r="F192" s="27">
        <v>64.01942162167835</v>
      </c>
      <c r="G192" s="27">
        <v>64.01942162167835</v>
      </c>
      <c r="H192" s="27">
        <v>64.01942162167835</v>
      </c>
      <c r="I192" s="27">
        <v>64.01942162167835</v>
      </c>
      <c r="J192" s="2" t="s">
        <v>295</v>
      </c>
    </row>
    <row r="193" spans="2:10" x14ac:dyDescent="0.25">
      <c r="B193" s="2" t="s">
        <v>306</v>
      </c>
      <c r="C193" s="2" t="s">
        <v>101</v>
      </c>
      <c r="D193" s="27">
        <v>18.968048063069222</v>
      </c>
      <c r="E193" s="27">
        <v>18.968048063069222</v>
      </c>
      <c r="F193" s="27">
        <v>18.968048063069222</v>
      </c>
      <c r="G193" s="27">
        <v>18.968048063069222</v>
      </c>
      <c r="H193" s="27">
        <v>18.968048063069222</v>
      </c>
      <c r="I193" s="27">
        <v>18.968048063069222</v>
      </c>
      <c r="J193" s="2" t="s">
        <v>295</v>
      </c>
    </row>
    <row r="194" spans="2:10" x14ac:dyDescent="0.25">
      <c r="B194" s="2" t="s">
        <v>307</v>
      </c>
      <c r="C194" s="2" t="s">
        <v>297</v>
      </c>
      <c r="D194" s="25">
        <v>0.056790199635817024</v>
      </c>
      <c r="E194" s="25">
        <v>0.056790199635817024</v>
      </c>
      <c r="F194" s="25">
        <v>0.056790199635817024</v>
      </c>
      <c r="G194" s="25">
        <v>0.056790199635817024</v>
      </c>
      <c r="H194" s="25">
        <v>0.056790199635817024</v>
      </c>
      <c r="I194" s="25">
        <v>0.056790199635817024</v>
      </c>
      <c r="J194" s="2" t="s">
        <v>295</v>
      </c>
    </row>
    <row r="195" spans="2:10" x14ac:dyDescent="0.25">
      <c r="B195" s="2" t="s">
        <v>308</v>
      </c>
      <c r="C195" s="2" t="s">
        <v>297</v>
      </c>
      <c r="D195" s="25">
        <v>0.057497433153553566</v>
      </c>
      <c r="E195" s="25">
        <v>0.057497433153553566</v>
      </c>
      <c r="F195" s="25">
        <v>0.057497433153553566</v>
      </c>
      <c r="G195" s="25">
        <v>0.057497433153553566</v>
      </c>
      <c r="H195" s="25">
        <v>0.057497433153553566</v>
      </c>
      <c r="I195" s="25">
        <v>0.057497433153553566</v>
      </c>
      <c r="J195" s="2" t="s">
        <v>295</v>
      </c>
    </row>
    <row r="196" spans="2:10" x14ac:dyDescent="0.25">
      <c r="B196" s="2" t="s">
        <v>309</v>
      </c>
      <c r="C196" s="2" t="s">
        <v>54</v>
      </c>
      <c r="D196" s="25">
        <v>0.225</v>
      </c>
      <c r="E196" s="25">
        <v>0.225</v>
      </c>
      <c r="F196" s="25">
        <v>0.225</v>
      </c>
      <c r="G196" s="25">
        <v>0.225</v>
      </c>
      <c r="H196" s="25">
        <v>0.225</v>
      </c>
      <c r="I196" s="25">
        <v>0.225</v>
      </c>
      <c r="J196" s="2" t="s">
        <v>261</v>
      </c>
    </row>
    <row r="198" spans="2:10" x14ac:dyDescent="0.25">
      <c r="B198" s="3" t="s">
        <v>310</v>
      </c>
      <c r="C198" s="4"/>
      <c r="D198" s="4"/>
      <c r="E198" s="4"/>
      <c r="F198" s="4"/>
      <c r="G198" s="4"/>
      <c r="H198" s="4"/>
      <c r="I198" s="4"/>
      <c r="J198" s="4"/>
    </row>
    <row r="199" spans="2:10" x14ac:dyDescent="0.25">
      <c r="B199" s="4"/>
      <c r="C199" s="3" t="s">
        <v>4</v>
      </c>
      <c r="D199" s="5" t="s">
        <v>5</v>
      </c>
      <c r="E199" s="4"/>
      <c r="F199" s="4"/>
      <c r="G199" s="4"/>
      <c r="H199" s="4"/>
      <c r="I199" s="4"/>
      <c r="J199" s="3" t="s">
        <v>6</v>
      </c>
    </row>
    <row r="200" spans="2:10" x14ac:dyDescent="0.25">
      <c r="B200" s="2" t="s">
        <v>311</v>
      </c>
      <c r="C200" s="2" t="s">
        <v>98</v>
      </c>
      <c r="D200" s="21">
        <v>1</v>
      </c>
      <c r="J200" s="2" t="s">
        <v>312</v>
      </c>
    </row>
    <row r="201" spans="2:10" x14ac:dyDescent="0.25">
      <c r="B201" s="2" t="s">
        <v>313</v>
      </c>
      <c r="C201" s="2" t="s">
        <v>54</v>
      </c>
      <c r="D201" s="22">
        <v>0.10220000003904829</v>
      </c>
      <c r="J201" s="2" t="s">
        <v>314</v>
      </c>
    </row>
    <row r="202" spans="2:10" x14ac:dyDescent="0.25">
      <c r="B202" s="2" t="s">
        <v>315</v>
      </c>
      <c r="C202" s="2" t="s">
        <v>14</v>
      </c>
      <c r="D202" s="19">
        <v>2161430375</v>
      </c>
      <c r="J202" s="2" t="s">
        <v>316</v>
      </c>
    </row>
    <row r="203" spans="2:10" x14ac:dyDescent="0.25">
      <c r="B203" s="2" t="s">
        <v>317</v>
      </c>
      <c r="C203" s="2" t="s">
        <v>98</v>
      </c>
      <c r="D203" s="21">
        <v>1</v>
      </c>
      <c r="J203" s="2" t="s">
        <v>99</v>
      </c>
    </row>
    <row r="204" spans="2:10" x14ac:dyDescent="0.25">
      <c r="B204" s="2" t="s">
        <v>318</v>
      </c>
      <c r="C204" s="2" t="s">
        <v>98</v>
      </c>
      <c r="D204" s="21">
        <v>0</v>
      </c>
      <c r="J204" s="2" t="s">
        <v>99</v>
      </c>
    </row>
    <row r="205" spans="2:10" x14ac:dyDescent="0.25">
      <c r="B205" s="2" t="s">
        <v>319</v>
      </c>
      <c r="C205" s="2" t="s">
        <v>14</v>
      </c>
      <c r="D205" s="19"/>
      <c r="J205" s="2" t="s">
        <v>99</v>
      </c>
    </row>
    <row r="207" spans="2:10" x14ac:dyDescent="0.25">
      <c r="B207" s="3" t="s">
        <v>320</v>
      </c>
      <c r="C207" s="4"/>
      <c r="D207" s="4"/>
      <c r="E207" s="4"/>
      <c r="F207" s="4"/>
      <c r="G207" s="4"/>
      <c r="H207" s="4"/>
      <c r="I207" s="4"/>
      <c r="J207" s="4"/>
    </row>
    <row r="208" spans="2:10" x14ac:dyDescent="0.25">
      <c r="B208" s="4"/>
      <c r="C208" s="3" t="s">
        <v>4</v>
      </c>
      <c r="D208" s="5" t="s">
        <v>321</v>
      </c>
      <c r="E208" s="5" t="s">
        <v>322</v>
      </c>
      <c r="F208" s="5" t="s">
        <v>323</v>
      </c>
      <c r="G208" s="4"/>
      <c r="H208" s="4"/>
      <c r="I208" s="4"/>
      <c r="J208" s="3" t="s">
        <v>6</v>
      </c>
    </row>
    <row r="209" spans="2:10" x14ac:dyDescent="0.25">
      <c r="B209" s="2" t="s">
        <v>324</v>
      </c>
      <c r="C209" s="2" t="s">
        <v>54</v>
      </c>
      <c r="D209" s="25">
        <v>0.25</v>
      </c>
      <c r="E209" s="25">
        <v>0.5</v>
      </c>
      <c r="F209" s="25">
        <v>0.25</v>
      </c>
      <c r="J209" s="2" t="s">
        <v>99</v>
      </c>
    </row>
    <row r="210" spans="2:10" x14ac:dyDescent="0.25">
      <c r="B210" s="2" t="s">
        <v>325</v>
      </c>
      <c r="C210" s="2" t="s">
        <v>326</v>
      </c>
      <c r="D210" s="25">
        <v>-0.05</v>
      </c>
      <c r="E210" s="25">
        <v>0</v>
      </c>
      <c r="F210" s="25">
        <v>0.05</v>
      </c>
      <c r="J210" s="2" t="s">
        <v>99</v>
      </c>
    </row>
    <row r="211" spans="2:10" x14ac:dyDescent="0.25">
      <c r="B211" s="2" t="s">
        <v>327</v>
      </c>
      <c r="C211" s="2" t="s">
        <v>326</v>
      </c>
      <c r="D211" s="25">
        <v>-0.03</v>
      </c>
      <c r="E211" s="25">
        <v>0</v>
      </c>
      <c r="F211" s="25">
        <v>0.03</v>
      </c>
      <c r="J211" s="2" t="s">
        <v>99</v>
      </c>
    </row>
    <row r="212" spans="2:10" x14ac:dyDescent="0.25">
      <c r="B212" s="2" t="s">
        <v>328</v>
      </c>
      <c r="C212" s="2" t="s">
        <v>326</v>
      </c>
      <c r="D212" s="25">
        <v>0.01</v>
      </c>
      <c r="E212" s="25">
        <v>0</v>
      </c>
      <c r="F212" s="25">
        <v>-0.01</v>
      </c>
      <c r="J212" s="2" t="s">
        <v>99</v>
      </c>
    </row>
    <row r="213" spans="2:10" x14ac:dyDescent="0.25">
      <c r="B213" s="2" t="s">
        <v>329</v>
      </c>
      <c r="C213" s="2" t="s">
        <v>326</v>
      </c>
      <c r="D213" s="25">
        <v>-0.01</v>
      </c>
      <c r="E213" s="25">
        <v>0</v>
      </c>
      <c r="F213" s="25">
        <v>0.01</v>
      </c>
      <c r="J213" s="2" t="s">
        <v>99</v>
      </c>
    </row>
    <row r="215" spans="2:10" x14ac:dyDescent="0.25">
      <c r="B215" s="3" t="s">
        <v>78</v>
      </c>
      <c r="C215" s="4"/>
      <c r="D215" s="4"/>
      <c r="E215" s="4"/>
      <c r="F215" s="4"/>
      <c r="G215" s="4"/>
      <c r="H215" s="4"/>
      <c r="I215" s="4"/>
      <c r="J215" s="4"/>
    </row>
    <row r="216" spans="2:10" x14ac:dyDescent="0.25">
      <c r="B216" s="4"/>
      <c r="C216" s="3" t="s">
        <v>4</v>
      </c>
      <c r="D216" s="5" t="s">
        <v>5</v>
      </c>
      <c r="E216" s="4"/>
      <c r="F216" s="4"/>
      <c r="G216" s="4"/>
      <c r="H216" s="4"/>
      <c r="I216" s="4"/>
      <c r="J216" s="3" t="s">
        <v>6</v>
      </c>
    </row>
    <row r="217" spans="2:10" x14ac:dyDescent="0.25">
      <c r="B217" s="2" t="s">
        <v>330</v>
      </c>
      <c r="C217" s="2" t="s">
        <v>14</v>
      </c>
      <c r="D217" s="18"/>
      <c r="J217" s="2" t="s">
        <v>331</v>
      </c>
    </row>
    <row r="218" spans="2:10" x14ac:dyDescent="0.25">
      <c r="B218" s="2" t="s">
        <v>332</v>
      </c>
      <c r="C218" s="2" t="s">
        <v>54</v>
      </c>
      <c r="D218" s="22">
        <v>0.22944275127242708</v>
      </c>
      <c r="J218" s="2" t="s">
        <v>333</v>
      </c>
    </row>
    <row r="219" spans="2:10" x14ac:dyDescent="0.25">
      <c r="B219" s="2" t="s">
        <v>334</v>
      </c>
      <c r="C219" s="2" t="s">
        <v>104</v>
      </c>
      <c r="D219" s="21">
        <v>5</v>
      </c>
      <c r="J219" s="2" t="s">
        <v>335</v>
      </c>
    </row>
    <row r="220" spans="2:10" x14ac:dyDescent="0.25">
      <c r="B220" s="2" t="s">
        <v>336</v>
      </c>
      <c r="C220" s="2" t="s">
        <v>54</v>
      </c>
      <c r="D220" s="22">
        <v>0.1</v>
      </c>
      <c r="J220" s="2" t="s">
        <v>337</v>
      </c>
    </row>
    <row r="221" spans="2:10" x14ac:dyDescent="0.25">
      <c r="B221" s="2" t="s">
        <v>338</v>
      </c>
      <c r="C221" s="2" t="s">
        <v>61</v>
      </c>
      <c r="D221" s="24">
        <v>0.5</v>
      </c>
      <c r="J221" s="2" t="s">
        <v>339</v>
      </c>
    </row>
    <row r="223" spans="2:10" x14ac:dyDescent="0.25">
      <c r="B223" s="3" t="s">
        <v>340</v>
      </c>
      <c r="C223" s="4"/>
      <c r="D223" s="4"/>
      <c r="E223" s="4"/>
      <c r="F223" s="4"/>
      <c r="G223" s="4"/>
      <c r="H223" s="4"/>
      <c r="I223" s="4"/>
      <c r="J223" s="4"/>
    </row>
    <row r="224" spans="2:10" x14ac:dyDescent="0.25">
      <c r="B224" s="4"/>
      <c r="C224" s="3" t="s">
        <v>4</v>
      </c>
      <c r="D224" s="5" t="s">
        <v>281</v>
      </c>
      <c r="E224" s="5" t="s">
        <v>282</v>
      </c>
      <c r="F224" s="5" t="s">
        <v>283</v>
      </c>
      <c r="G224" s="5" t="s">
        <v>284</v>
      </c>
      <c r="H224" s="5" t="s">
        <v>285</v>
      </c>
      <c r="I224" s="4"/>
      <c r="J224" s="3" t="s">
        <v>6</v>
      </c>
    </row>
    <row r="225" spans="2:10" x14ac:dyDescent="0.25">
      <c r="B225" s="2" t="s">
        <v>341</v>
      </c>
      <c r="C225" s="2" t="s">
        <v>54</v>
      </c>
      <c r="D225" s="22">
        <v>0.145</v>
      </c>
      <c r="E225" s="22">
        <v>0.1075</v>
      </c>
      <c r="F225" s="22">
        <v>0.07</v>
      </c>
      <c r="G225" s="22">
        <v>0.07</v>
      </c>
      <c r="H225" s="22">
        <v>0.07</v>
      </c>
      <c r="J225" s="2" t="s">
        <v>342</v>
      </c>
    </row>
    <row r="226" spans="2:10" x14ac:dyDescent="0.25">
      <c r="B226" s="2" t="s">
        <v>343</v>
      </c>
      <c r="C226" s="2" t="s">
        <v>54</v>
      </c>
      <c r="D226" s="22">
        <v>0.025</v>
      </c>
      <c r="E226" s="22">
        <v>0.025</v>
      </c>
      <c r="F226" s="22">
        <v>0.025</v>
      </c>
      <c r="G226" s="22">
        <v>0.025</v>
      </c>
      <c r="H226" s="22">
        <v>0.025</v>
      </c>
      <c r="J226" s="2" t="s">
        <v>344</v>
      </c>
    </row>
    <row r="228" spans="2:10" x14ac:dyDescent="0.25">
      <c r="B228" s="3" t="s">
        <v>345</v>
      </c>
      <c r="C228" s="4"/>
      <c r="D228" s="4"/>
      <c r="E228" s="4"/>
      <c r="F228" s="4"/>
      <c r="G228" s="4"/>
      <c r="H228" s="4"/>
      <c r="I228" s="4"/>
      <c r="J228" s="4"/>
    </row>
    <row r="229" spans="2:10" x14ac:dyDescent="0.25">
      <c r="B229" s="4"/>
      <c r="C229" s="3" t="s">
        <v>4</v>
      </c>
      <c r="D229" s="5" t="s">
        <v>5</v>
      </c>
      <c r="E229" s="4"/>
      <c r="F229" s="4"/>
      <c r="G229" s="4"/>
      <c r="H229" s="4"/>
      <c r="I229" s="4"/>
      <c r="J229" s="3" t="s">
        <v>6</v>
      </c>
    </row>
    <row r="230" spans="2:4" x14ac:dyDescent="0.25">
      <c r="B230" s="2" t="s">
        <v>346</v>
      </c>
      <c r="C230" s="2" t="s">
        <v>326</v>
      </c>
      <c r="D230" s="22">
        <v>0.01</v>
      </c>
    </row>
    <row r="231" spans="2:4" x14ac:dyDescent="0.25">
      <c r="B231" s="2" t="s">
        <v>347</v>
      </c>
      <c r="C231" s="2" t="s">
        <v>326</v>
      </c>
      <c r="D231" s="22">
        <v>0.01</v>
      </c>
    </row>
    <row r="232" spans="2:4" x14ac:dyDescent="0.25">
      <c r="B232" s="2" t="s">
        <v>348</v>
      </c>
      <c r="C232" s="2" t="s">
        <v>61</v>
      </c>
      <c r="D232" s="26">
        <v>1</v>
      </c>
    </row>
    <row r="233" spans="2:4" x14ac:dyDescent="0.25">
      <c r="B233" s="2" t="s">
        <v>349</v>
      </c>
      <c r="C233" s="2" t="s">
        <v>326</v>
      </c>
      <c r="D233" s="22">
        <v>0.02</v>
      </c>
    </row>
    <row r="234" spans="2:4" x14ac:dyDescent="0.25">
      <c r="B234" s="2" t="s">
        <v>350</v>
      </c>
      <c r="C234" s="2" t="s">
        <v>326</v>
      </c>
      <c r="D234" s="22">
        <v>0.02</v>
      </c>
    </row>
    <row r="235" spans="2:4" x14ac:dyDescent="0.25">
      <c r="B235" s="2" t="s">
        <v>351</v>
      </c>
      <c r="C235" s="2" t="s">
        <v>326</v>
      </c>
      <c r="D235" s="22">
        <v>0.01</v>
      </c>
    </row>
    <row r="236" spans="2:4" x14ac:dyDescent="0.25">
      <c r="B236" s="2" t="s">
        <v>352</v>
      </c>
      <c r="C236" s="2" t="s">
        <v>61</v>
      </c>
      <c r="D236" s="24">
        <v>0.1</v>
      </c>
    </row>
    <row r="237" spans="2:10" x14ac:dyDescent="0.25">
      <c r="B237" s="2" t="s">
        <v>353</v>
      </c>
      <c r="C237" s="2" t="s">
        <v>354</v>
      </c>
      <c r="D237" s="21">
        <v>-2</v>
      </c>
      <c r="E237" s="21">
        <v>-1</v>
      </c>
      <c r="F237" s="21">
        <v>0</v>
      </c>
      <c r="G237" s="21">
        <v>1</v>
      </c>
      <c r="H237" s="21">
        <v>2</v>
      </c>
      <c r="J237" s="2" t="s">
        <v>355</v>
      </c>
    </row>
    <row r="239" spans="2:10" x14ac:dyDescent="0.25">
      <c r="B239" s="3" t="s">
        <v>356</v>
      </c>
      <c r="C239" s="4"/>
      <c r="D239" s="4"/>
      <c r="E239" s="4"/>
      <c r="F239" s="4"/>
      <c r="G239" s="4"/>
      <c r="H239" s="4"/>
      <c r="I239" s="4"/>
      <c r="J239" s="4"/>
    </row>
    <row r="240" spans="2:10" x14ac:dyDescent="0.25">
      <c r="B240" s="4"/>
      <c r="C240" s="3" t="s">
        <v>4</v>
      </c>
      <c r="D240" s="5" t="s">
        <v>357</v>
      </c>
      <c r="E240" s="4"/>
      <c r="F240" s="4"/>
      <c r="G240" s="4"/>
      <c r="H240" s="4"/>
      <c r="I240" s="4"/>
      <c r="J240" s="3" t="s">
        <v>6</v>
      </c>
    </row>
    <row r="241" spans="2:10" x14ac:dyDescent="0.25">
      <c r="B241" s="2" t="s">
        <v>47</v>
      </c>
      <c r="C241" s="2" t="s">
        <v>54</v>
      </c>
      <c r="D241" s="25">
        <v>0.75</v>
      </c>
      <c r="J241" s="2" t="s">
        <v>99</v>
      </c>
    </row>
    <row r="242" spans="2:10" x14ac:dyDescent="0.25">
      <c r="B242" s="2" t="s">
        <v>78</v>
      </c>
      <c r="C242" s="2" t="s">
        <v>54</v>
      </c>
      <c r="D242" s="25">
        <v>0.25</v>
      </c>
      <c r="J242" s="2" t="s">
        <v>99</v>
      </c>
    </row>
    <row r="243" spans="2:10" x14ac:dyDescent="0.25">
      <c r="B243" s="2" t="s">
        <v>358</v>
      </c>
      <c r="C243" s="2" t="s">
        <v>54</v>
      </c>
      <c r="D243" s="25">
        <v>0</v>
      </c>
      <c r="J243" s="2" t="s">
        <v>99</v>
      </c>
    </row>
    <row r="244" spans="2:10" x14ac:dyDescent="0.25">
      <c r="B244" s="2" t="s">
        <v>359</v>
      </c>
      <c r="C244" s="2" t="s">
        <v>54</v>
      </c>
      <c r="D244" s="25">
        <v>0</v>
      </c>
      <c r="J244" s="2" t="s">
        <v>99</v>
      </c>
    </row>
    <row r="245" spans="2:10" x14ac:dyDescent="0.25">
      <c r="B245" s="2" t="s">
        <v>52</v>
      </c>
      <c r="C245" s="2" t="s">
        <v>54</v>
      </c>
      <c r="D245" s="25">
        <v>0</v>
      </c>
      <c r="J245" s="2" t="s">
        <v>99</v>
      </c>
    </row>
    <row r="247" spans="2:10" x14ac:dyDescent="0.25">
      <c r="B247" s="3" t="s">
        <v>360</v>
      </c>
      <c r="C247" s="4"/>
      <c r="D247" s="4"/>
      <c r="E247" s="4"/>
      <c r="F247" s="4"/>
      <c r="G247" s="4"/>
      <c r="H247" s="4"/>
      <c r="I247" s="4"/>
      <c r="J247" s="4"/>
    </row>
    <row r="248" spans="2:10" x14ac:dyDescent="0.25">
      <c r="B248" s="4"/>
      <c r="C248" s="3" t="s">
        <v>4</v>
      </c>
      <c r="D248" s="5" t="s">
        <v>5</v>
      </c>
      <c r="E248" s="4"/>
      <c r="F248" s="4"/>
      <c r="G248" s="4"/>
      <c r="H248" s="4"/>
      <c r="I248" s="4"/>
      <c r="J248" s="3" t="s">
        <v>6</v>
      </c>
    </row>
    <row r="249" spans="2:10" x14ac:dyDescent="0.25">
      <c r="B249" s="2" t="s">
        <v>361</v>
      </c>
      <c r="C249" s="2" t="s">
        <v>54</v>
      </c>
      <c r="D249" s="25">
        <v>0.1</v>
      </c>
      <c r="J249" s="2" t="s">
        <v>362</v>
      </c>
    </row>
    <row r="250" spans="2:10" x14ac:dyDescent="0.25">
      <c r="B250" s="2" t="s">
        <v>363</v>
      </c>
      <c r="C250" s="2" t="s">
        <v>14</v>
      </c>
      <c r="D250" s="24">
        <v>1</v>
      </c>
      <c r="J250" s="2" t="s">
        <v>364</v>
      </c>
    </row>
    <row r="251" spans="2:10" x14ac:dyDescent="0.25">
      <c r="B251" s="2" t="s">
        <v>365</v>
      </c>
      <c r="C251" s="2" t="s">
        <v>14</v>
      </c>
      <c r="D251" s="24">
        <v>0.01</v>
      </c>
      <c r="J251" s="2" t="s">
        <v>364</v>
      </c>
    </row>
    <row r="252" spans="2:10" x14ac:dyDescent="0.25">
      <c r="B252" s="2" t="s">
        <v>366</v>
      </c>
      <c r="C252" s="2" t="s">
        <v>61</v>
      </c>
      <c r="D252" s="23">
        <v>1e-7</v>
      </c>
      <c r="J252" s="2" t="s">
        <v>364</v>
      </c>
    </row>
    <row r="253" spans="2:10" x14ac:dyDescent="0.25">
      <c r="B253" s="2" t="s">
        <v>367</v>
      </c>
      <c r="C253" s="2" t="s">
        <v>54</v>
      </c>
      <c r="D253" s="25">
        <v>0.25</v>
      </c>
      <c r="J253" s="2" t="s">
        <v>368</v>
      </c>
    </row>
    <row r="254" spans="2:10" x14ac:dyDescent="0.25">
      <c r="B254" s="2" t="s">
        <v>369</v>
      </c>
      <c r="C254" s="2" t="s">
        <v>54</v>
      </c>
      <c r="D254" s="25">
        <v>0.75</v>
      </c>
      <c r="J254" s="2" t="s">
        <v>368</v>
      </c>
    </row>
    <row r="255" spans="2:10" x14ac:dyDescent="0.25">
      <c r="B255" s="2" t="s">
        <v>370</v>
      </c>
      <c r="C255" s="2" t="s">
        <v>54</v>
      </c>
      <c r="D255" s="25">
        <v>0.1</v>
      </c>
      <c r="J255" s="2" t="s">
        <v>371</v>
      </c>
    </row>
    <row r="257" spans="2:10" x14ac:dyDescent="0.25">
      <c r="B257" s="3" t="s">
        <v>372</v>
      </c>
      <c r="C257" s="4"/>
      <c r="D257" s="4"/>
      <c r="E257" s="4"/>
      <c r="F257" s="4"/>
      <c r="G257" s="4"/>
      <c r="H257" s="4"/>
      <c r="I257" s="4"/>
      <c r="J257" s="4"/>
    </row>
    <row r="258" spans="2:10" x14ac:dyDescent="0.25">
      <c r="B258" s="4"/>
      <c r="C258" s="3" t="s">
        <v>4</v>
      </c>
      <c r="D258" s="5" t="s">
        <v>5</v>
      </c>
      <c r="E258" s="4"/>
      <c r="F258" s="4"/>
      <c r="G258" s="4"/>
      <c r="H258" s="4"/>
      <c r="I258" s="4"/>
      <c r="J258" s="3" t="s">
        <v>6</v>
      </c>
    </row>
    <row r="259" spans="2:10" x14ac:dyDescent="0.25">
      <c r="B259" s="2" t="s">
        <v>373</v>
      </c>
      <c r="C259" s="2" t="s">
        <v>61</v>
      </c>
      <c r="D259" s="24">
        <v>3.25</v>
      </c>
      <c r="J259" s="2" t="s">
        <v>374</v>
      </c>
    </row>
    <row r="260" spans="2:10" x14ac:dyDescent="0.25">
      <c r="B260" s="2" t="s">
        <v>375</v>
      </c>
      <c r="C260" s="2" t="s">
        <v>61</v>
      </c>
      <c r="D260" s="24">
        <v>6.56</v>
      </c>
      <c r="J260" s="2" t="s">
        <v>374</v>
      </c>
    </row>
    <row r="261" spans="2:10" x14ac:dyDescent="0.25">
      <c r="B261" s="2" t="s">
        <v>376</v>
      </c>
      <c r="C261" s="2" t="s">
        <v>61</v>
      </c>
      <c r="D261" s="24">
        <v>3.26</v>
      </c>
      <c r="J261" s="2" t="s">
        <v>374</v>
      </c>
    </row>
    <row r="262" spans="2:10" x14ac:dyDescent="0.25">
      <c r="B262" s="2" t="s">
        <v>377</v>
      </c>
      <c r="C262" s="2" t="s">
        <v>61</v>
      </c>
      <c r="D262" s="24">
        <v>6.72</v>
      </c>
      <c r="J262" s="2" t="s">
        <v>374</v>
      </c>
    </row>
    <row r="263" spans="2:10" x14ac:dyDescent="0.25">
      <c r="B263" s="2" t="s">
        <v>378</v>
      </c>
      <c r="C263" s="2" t="s">
        <v>61</v>
      </c>
      <c r="D263" s="24">
        <v>1.05</v>
      </c>
      <c r="J263" s="2" t="s">
        <v>374</v>
      </c>
    </row>
    <row r="264" spans="2:10" x14ac:dyDescent="0.25">
      <c r="B264" s="2" t="s">
        <v>379</v>
      </c>
      <c r="C264" s="2" t="s">
        <v>61</v>
      </c>
      <c r="D264" s="24">
        <v>5.85</v>
      </c>
      <c r="J264" s="2" t="s">
        <v>374</v>
      </c>
    </row>
    <row r="265" spans="2:10" x14ac:dyDescent="0.25">
      <c r="B265" s="2" t="s">
        <v>380</v>
      </c>
      <c r="C265" s="2" t="s">
        <v>61</v>
      </c>
      <c r="D265" s="24">
        <v>4.35</v>
      </c>
      <c r="J265" s="2" t="s">
        <v>374</v>
      </c>
    </row>
    <row r="267" spans="2:10" x14ac:dyDescent="0.25">
      <c r="B267" s="3" t="s">
        <v>381</v>
      </c>
      <c r="C267" s="4"/>
      <c r="D267" s="4"/>
      <c r="E267" s="4"/>
      <c r="F267" s="4"/>
      <c r="G267" s="4"/>
      <c r="H267" s="4"/>
      <c r="I267" s="4"/>
      <c r="J267" s="4"/>
    </row>
    <row r="268" spans="2:2" x14ac:dyDescent="0.25">
      <c r="B268" s="2" t="s">
        <v>382</v>
      </c>
    </row>
    <row r="270" spans="2:10" x14ac:dyDescent="0.25">
      <c r="B270" s="3" t="s">
        <v>359</v>
      </c>
      <c r="C270" s="4"/>
      <c r="D270" s="4"/>
      <c r="E270" s="4"/>
      <c r="F270" s="4"/>
      <c r="G270" s="4"/>
      <c r="H270" s="4"/>
      <c r="I270" s="4"/>
      <c r="J270" s="4"/>
    </row>
    <row r="271" spans="2:2" x14ac:dyDescent="0.25">
      <c r="B271" s="2" t="s">
        <v>383</v>
      </c>
    </row>
    <row r="273" spans="2:10" x14ac:dyDescent="0.25">
      <c r="B273" s="3" t="s">
        <v>384</v>
      </c>
      <c r="C273" s="4"/>
      <c r="D273" s="4"/>
      <c r="E273" s="4"/>
      <c r="F273" s="4"/>
      <c r="G273" s="4"/>
      <c r="H273" s="4"/>
      <c r="I273" s="4"/>
      <c r="J273" s="4"/>
    </row>
    <row r="274" spans="2:2" x14ac:dyDescent="0.25">
      <c r="B274" s="2" t="s">
        <v>385</v>
      </c>
    </row>
    <row r="276" spans="2:10" x14ac:dyDescent="0.25">
      <c r="B276" s="3" t="s">
        <v>386</v>
      </c>
      <c r="C276" s="4"/>
      <c r="D276" s="4"/>
      <c r="E276" s="4"/>
      <c r="F276" s="4"/>
      <c r="G276" s="4"/>
      <c r="H276" s="4"/>
      <c r="I276" s="4"/>
      <c r="J276" s="4"/>
    </row>
    <row r="277" spans="2:2" x14ac:dyDescent="0.25">
      <c r="B277" s="2" t="s">
        <v>387</v>
      </c>
    </row>
    <row r="279" spans="2:10" x14ac:dyDescent="0.25">
      <c r="B279" s="3" t="s">
        <v>388</v>
      </c>
      <c r="C279" s="4"/>
      <c r="D279" s="4"/>
      <c r="E279" s="4"/>
      <c r="F279" s="4"/>
      <c r="G279" s="4"/>
      <c r="H279" s="4"/>
      <c r="I279" s="4"/>
      <c r="J279" s="4"/>
    </row>
    <row r="280" spans="2:10" x14ac:dyDescent="0.25">
      <c r="B280" s="4"/>
      <c r="C280" s="3" t="s">
        <v>4</v>
      </c>
      <c r="D280" s="5" t="s">
        <v>5</v>
      </c>
      <c r="E280" s="4"/>
      <c r="F280" s="4"/>
      <c r="G280" s="4"/>
      <c r="H280" s="4"/>
      <c r="I280" s="4"/>
      <c r="J280" s="3" t="s">
        <v>6</v>
      </c>
    </row>
    <row r="281" spans="2:10" x14ac:dyDescent="0.25">
      <c r="B281" s="2" t="s">
        <v>389</v>
      </c>
      <c r="C281" s="2" t="s">
        <v>54</v>
      </c>
      <c r="D281" s="25">
        <v>0.7996778280266901</v>
      </c>
      <c r="J281" s="2" t="s">
        <v>390</v>
      </c>
    </row>
    <row r="282" spans="2:10" x14ac:dyDescent="0.25">
      <c r="B282" s="2" t="s">
        <v>391</v>
      </c>
      <c r="C282" s="2" t="s">
        <v>54</v>
      </c>
      <c r="D282" s="25"/>
      <c r="J282" s="2" t="s">
        <v>392</v>
      </c>
    </row>
    <row r="284" spans="2:10" x14ac:dyDescent="0.25">
      <c r="B284" s="3" t="s">
        <v>393</v>
      </c>
      <c r="C284" s="4"/>
      <c r="D284" s="4"/>
      <c r="E284" s="4"/>
      <c r="F284" s="4"/>
      <c r="G284" s="4"/>
      <c r="H284" s="4"/>
      <c r="I284" s="4"/>
      <c r="J284" s="4"/>
    </row>
    <row r="285" spans="2:10" x14ac:dyDescent="0.25">
      <c r="B285" s="4"/>
      <c r="C285" s="3" t="s">
        <v>4</v>
      </c>
      <c r="D285" s="5" t="s">
        <v>5</v>
      </c>
      <c r="E285" s="4"/>
      <c r="F285" s="4"/>
      <c r="G285" s="4"/>
      <c r="H285" s="4"/>
      <c r="I285" s="4"/>
      <c r="J285" s="3" t="s">
        <v>6</v>
      </c>
    </row>
    <row r="286" spans="2:10" x14ac:dyDescent="0.25">
      <c r="B286" s="2" t="s">
        <v>394</v>
      </c>
      <c r="C286" s="2" t="s">
        <v>4</v>
      </c>
      <c r="D286" s="18">
        <v>26.330655954001617</v>
      </c>
      <c r="J286" s="2" t="s">
        <v>395</v>
      </c>
    </row>
    <row r="287" spans="2:10" x14ac:dyDescent="0.25">
      <c r="B287" s="2" t="s">
        <v>396</v>
      </c>
      <c r="C287" s="2" t="s">
        <v>4</v>
      </c>
      <c r="D287" s="19">
        <v>59421065189.87271</v>
      </c>
      <c r="J287" s="2" t="s">
        <v>395</v>
      </c>
    </row>
    <row r="288" spans="2:10" x14ac:dyDescent="0.25">
      <c r="B288" s="2" t="s">
        <v>397</v>
      </c>
      <c r="C288" s="2" t="s">
        <v>4</v>
      </c>
      <c r="D288" s="19">
        <v>75520014492.87271</v>
      </c>
      <c r="J288" s="2" t="s">
        <v>395</v>
      </c>
    </row>
    <row r="289" spans="2:10" x14ac:dyDescent="0.25">
      <c r="B289" s="2" t="s">
        <v>33</v>
      </c>
      <c r="C289" s="2" t="s">
        <v>4</v>
      </c>
      <c r="D289" s="22">
        <v>0.2602610707135302</v>
      </c>
      <c r="J289" s="2" t="s">
        <v>395</v>
      </c>
    </row>
    <row r="290" spans="2:10" x14ac:dyDescent="0.25">
      <c r="B290" s="2" t="s">
        <v>67</v>
      </c>
      <c r="C290" s="2" t="s">
        <v>4</v>
      </c>
      <c r="D290" s="22">
        <v>0.26039166945003267</v>
      </c>
      <c r="J290" s="2" t="s">
        <v>395</v>
      </c>
    </row>
    <row r="291" spans="2:10" x14ac:dyDescent="0.25">
      <c r="B291" s="2" t="s">
        <v>398</v>
      </c>
      <c r="C291" s="2" t="s">
        <v>4</v>
      </c>
      <c r="D291" s="18">
        <v>27.148724567458224</v>
      </c>
      <c r="J291" s="2" t="s">
        <v>395</v>
      </c>
    </row>
    <row r="292" spans="2:10" x14ac:dyDescent="0.25">
      <c r="B292" s="2" t="s">
        <v>55</v>
      </c>
      <c r="C292" s="2" t="s">
        <v>4</v>
      </c>
      <c r="D292" s="18">
        <v>26.53517310736577</v>
      </c>
      <c r="J292" s="2" t="s">
        <v>395</v>
      </c>
    </row>
    <row r="293" spans="2:10" x14ac:dyDescent="0.25">
      <c r="B293" s="2" t="s">
        <v>399</v>
      </c>
      <c r="C293" s="2" t="s">
        <v>4</v>
      </c>
      <c r="D293" s="18">
        <v>27.125224777443776</v>
      </c>
      <c r="J293" s="2" t="s">
        <v>395</v>
      </c>
    </row>
    <row r="294" spans="2:10" x14ac:dyDescent="0.25">
      <c r="B294" s="2" t="s">
        <v>400</v>
      </c>
      <c r="C294" s="2" t="s">
        <v>4</v>
      </c>
      <c r="D294" s="18">
        <v>22.07053720617124</v>
      </c>
      <c r="J294" s="2" t="s">
        <v>395</v>
      </c>
    </row>
    <row r="295" spans="2:10" x14ac:dyDescent="0.25">
      <c r="B295" s="2" t="s">
        <v>401</v>
      </c>
      <c r="C295" s="2" t="s">
        <v>4</v>
      </c>
      <c r="D295" s="18">
        <v>26.33015597076612</v>
      </c>
      <c r="J295" s="2" t="s">
        <v>395</v>
      </c>
    </row>
    <row r="296" spans="2:10" x14ac:dyDescent="0.25">
      <c r="B296" s="2" t="s">
        <v>402</v>
      </c>
      <c r="C296" s="2" t="s">
        <v>4</v>
      </c>
      <c r="D296" s="18">
        <v>31.729418465672474</v>
      </c>
      <c r="J296" s="2" t="s">
        <v>395</v>
      </c>
    </row>
  </sheetData>
  <pageMargins left="0.4" right="0.4" top="0.5" bottom="0.6" header="0.3" footer="0.3"/>
  <pageSetup paperSize="9" orientation="landscape" fitToWidth="1" fitToHeight="0"/>
  <headerFooter>
    <oddFooter>&amp;CMOPCO | Inputs |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57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2" customWidth="1"/>
    <col min="3" max="3" width="11" customWidth="1"/>
    <col min="4" max="14" width="17" customWidth="1"/>
    <col min="15" max="15" width="70" customWidth="1"/>
  </cols>
  <sheetData>
    <row r="2" spans="2:2" x14ac:dyDescent="0.25">
      <c r="B2" s="1" t="s">
        <v>403</v>
      </c>
    </row>
    <row r="3" spans="2:2" x14ac:dyDescent="0.25">
      <c r="B3" s="2" t="s">
        <v>404</v>
      </c>
    </row>
    <row r="4" spans="2:2" x14ac:dyDescent="0.25">
      <c r="B4" s="2" t="s">
        <v>2</v>
      </c>
    </row>
    <row r="6" spans="2:15" x14ac:dyDescent="0.25">
      <c r="B6" s="3" t="s">
        <v>405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2:15" x14ac:dyDescent="0.25">
      <c r="B7" s="4"/>
      <c r="C7" s="3" t="s">
        <v>4</v>
      </c>
      <c r="D7" s="5" t="s">
        <v>5</v>
      </c>
      <c r="E7" s="4"/>
      <c r="F7" s="4"/>
      <c r="G7" s="4"/>
      <c r="H7" s="4"/>
      <c r="I7" s="4"/>
      <c r="J7" s="4"/>
      <c r="K7" s="4"/>
      <c r="L7" s="4"/>
      <c r="M7" s="4"/>
      <c r="N7" s="4"/>
      <c r="O7" s="3" t="s">
        <v>6</v>
      </c>
    </row>
    <row r="8" spans="2:4" x14ac:dyDescent="0.25">
      <c r="B8" s="2" t="s">
        <v>406</v>
      </c>
      <c r="C8" s="2" t="s">
        <v>4</v>
      </c>
      <c r="D8" s="6" t="s">
        <v>407</v>
      </c>
    </row>
    <row r="9" spans="2:4" x14ac:dyDescent="0.25">
      <c r="B9" s="2" t="s">
        <v>408</v>
      </c>
      <c r="C9" s="2" t="s">
        <v>4</v>
      </c>
      <c r="D9" s="6" t="s">
        <v>409</v>
      </c>
    </row>
    <row r="10" spans="2:4" x14ac:dyDescent="0.25">
      <c r="B10" s="2" t="s">
        <v>410</v>
      </c>
      <c r="C10" s="2" t="s">
        <v>12</v>
      </c>
      <c r="D10" s="17">
        <v>46090</v>
      </c>
    </row>
    <row r="11" spans="2:4" x14ac:dyDescent="0.25">
      <c r="B11" s="2" t="s">
        <v>411</v>
      </c>
      <c r="C11" s="2" t="s">
        <v>4</v>
      </c>
      <c r="D11" s="6" t="s">
        <v>412</v>
      </c>
    </row>
    <row r="12" spans="2:15" x14ac:dyDescent="0.25">
      <c r="B12" s="2" t="s">
        <v>413</v>
      </c>
      <c r="C12" s="2" t="s">
        <v>4</v>
      </c>
      <c r="D12" s="6" t="s">
        <v>414</v>
      </c>
      <c r="O12" s="2" t="s">
        <v>415</v>
      </c>
    </row>
    <row r="13" spans="2:15" x14ac:dyDescent="0.25">
      <c r="B13" s="2" t="s">
        <v>416</v>
      </c>
      <c r="C13" s="2" t="s">
        <v>4</v>
      </c>
      <c r="D13" s="6" t="s">
        <v>417</v>
      </c>
      <c r="O13" s="2" t="s">
        <v>415</v>
      </c>
    </row>
    <row r="14" spans="2:15" x14ac:dyDescent="0.25">
      <c r="B14" s="2" t="s">
        <v>418</v>
      </c>
      <c r="C14" s="2" t="s">
        <v>4</v>
      </c>
      <c r="D14" s="6" t="s">
        <v>419</v>
      </c>
      <c r="O14" s="2" t="s">
        <v>415</v>
      </c>
    </row>
    <row r="15" spans="2:15" x14ac:dyDescent="0.25">
      <c r="B15" s="2" t="s">
        <v>420</v>
      </c>
      <c r="C15" s="2" t="s">
        <v>4</v>
      </c>
      <c r="D15" s="6" t="s">
        <v>421</v>
      </c>
      <c r="O15" s="2" t="s">
        <v>415</v>
      </c>
    </row>
    <row r="16" spans="2:15" x14ac:dyDescent="0.25">
      <c r="B16" s="2" t="s">
        <v>422</v>
      </c>
      <c r="C16" s="2" t="s">
        <v>4</v>
      </c>
      <c r="D16" s="6" t="s">
        <v>423</v>
      </c>
      <c r="O16" s="2" t="s">
        <v>415</v>
      </c>
    </row>
    <row r="17" spans="2:15" x14ac:dyDescent="0.25">
      <c r="B17" s="2" t="s">
        <v>424</v>
      </c>
      <c r="C17" s="2" t="s">
        <v>4</v>
      </c>
      <c r="D17" s="6" t="s">
        <v>425</v>
      </c>
      <c r="O17" s="2" t="s">
        <v>426</v>
      </c>
    </row>
    <row r="18" spans="2:15" x14ac:dyDescent="0.25">
      <c r="B18" s="2" t="s">
        <v>427</v>
      </c>
      <c r="C18" s="2" t="s">
        <v>4</v>
      </c>
      <c r="D18" s="6" t="s">
        <v>428</v>
      </c>
      <c r="O18" s="2" t="s">
        <v>426</v>
      </c>
    </row>
    <row r="20" spans="2:15" x14ac:dyDescent="0.25">
      <c r="B20" s="3" t="s">
        <v>429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2:15" x14ac:dyDescent="0.25">
      <c r="B21" s="4"/>
      <c r="C21" s="3" t="s">
        <v>430</v>
      </c>
      <c r="D21" s="5" t="s">
        <v>431</v>
      </c>
      <c r="E21" s="5" t="s">
        <v>5</v>
      </c>
      <c r="F21" s="5" t="s">
        <v>432</v>
      </c>
      <c r="G21" s="5" t="s">
        <v>433</v>
      </c>
      <c r="H21" s="5" t="s">
        <v>434</v>
      </c>
      <c r="I21" s="5" t="s">
        <v>435</v>
      </c>
      <c r="J21" s="5" t="s">
        <v>436</v>
      </c>
      <c r="K21" s="5" t="s">
        <v>437</v>
      </c>
      <c r="L21" s="5" t="s">
        <v>438</v>
      </c>
      <c r="M21" s="5" t="s">
        <v>439</v>
      </c>
      <c r="N21" s="5" t="s">
        <v>440</v>
      </c>
      <c r="O21" s="3" t="s">
        <v>6</v>
      </c>
    </row>
    <row r="22" spans="2:15" x14ac:dyDescent="0.25">
      <c r="B22" s="2" t="s">
        <v>441</v>
      </c>
      <c r="C22" s="2" t="s">
        <v>4</v>
      </c>
      <c r="D22" s="6" t="s">
        <v>442</v>
      </c>
      <c r="E22" s="22">
        <v>0.19</v>
      </c>
      <c r="F22" s="6" t="s">
        <v>443</v>
      </c>
      <c r="G22" s="6" t="s">
        <v>444</v>
      </c>
      <c r="H22" s="6" t="s">
        <v>445</v>
      </c>
      <c r="I22" s="10" t="s">
        <v>446</v>
      </c>
      <c r="J22" s="17">
        <v>46254</v>
      </c>
      <c r="K22" s="6" t="s">
        <v>447</v>
      </c>
      <c r="L22" s="6" t="s">
        <v>448</v>
      </c>
      <c r="M22" s="6" t="s">
        <v>449</v>
      </c>
      <c r="N22" s="2">
        <f>IF(AND($M$22="Yes",$L$22&lt;&gt;"ok"),"Flagged: "&amp;$L$22,"")</f>
      </c>
      <c r="O22" s="2" t="s">
        <v>450</v>
      </c>
    </row>
    <row r="23" spans="2:14" x14ac:dyDescent="0.25">
      <c r="B23" s="2" t="s">
        <v>451</v>
      </c>
      <c r="C23" s="2" t="s">
        <v>4</v>
      </c>
      <c r="D23" s="6" t="s">
        <v>452</v>
      </c>
      <c r="E23" s="22">
        <v>0.2</v>
      </c>
      <c r="F23" s="6" t="s">
        <v>443</v>
      </c>
      <c r="G23" s="6" t="s">
        <v>444</v>
      </c>
      <c r="H23" s="6" t="s">
        <v>445</v>
      </c>
      <c r="I23" s="10" t="s">
        <v>446</v>
      </c>
      <c r="J23" s="17">
        <v>46254</v>
      </c>
      <c r="K23" s="6" t="s">
        <v>447</v>
      </c>
      <c r="L23" s="6" t="s">
        <v>448</v>
      </c>
      <c r="M23" s="6" t="s">
        <v>449</v>
      </c>
      <c r="N23" s="2">
        <f>IF(AND($M$23="Yes",$L$23&lt;&gt;"ok"),"Flagged: "&amp;$L$23,"")</f>
      </c>
    </row>
    <row r="24" spans="2:14" x14ac:dyDescent="0.25">
      <c r="B24" s="2" t="s">
        <v>453</v>
      </c>
      <c r="C24" s="2" t="s">
        <v>4</v>
      </c>
      <c r="D24" s="6" t="s">
        <v>454</v>
      </c>
      <c r="E24" s="22">
        <v>0.195</v>
      </c>
      <c r="F24" s="6" t="s">
        <v>443</v>
      </c>
      <c r="G24" s="6" t="s">
        <v>444</v>
      </c>
      <c r="H24" s="6" t="s">
        <v>445</v>
      </c>
      <c r="I24" s="10" t="s">
        <v>446</v>
      </c>
      <c r="J24" s="17">
        <v>46254</v>
      </c>
      <c r="K24" s="6" t="s">
        <v>447</v>
      </c>
      <c r="L24" s="6" t="s">
        <v>448</v>
      </c>
      <c r="M24" s="6" t="s">
        <v>449</v>
      </c>
      <c r="N24" s="2">
        <f>IF(AND($M$24="Yes",$L$24&lt;&gt;"ok"),"Flagged: "&amp;$L$24,"")</f>
      </c>
    </row>
    <row r="25" spans="2:14" x14ac:dyDescent="0.25">
      <c r="B25" s="2" t="s">
        <v>455</v>
      </c>
      <c r="C25" s="2" t="s">
        <v>4</v>
      </c>
      <c r="D25" s="6" t="s">
        <v>456</v>
      </c>
      <c r="E25" s="22">
        <v>0.195</v>
      </c>
      <c r="F25" s="6" t="s">
        <v>443</v>
      </c>
      <c r="G25" s="6" t="s">
        <v>444</v>
      </c>
      <c r="H25" s="6" t="s">
        <v>445</v>
      </c>
      <c r="I25" s="10" t="s">
        <v>457</v>
      </c>
      <c r="J25" s="17">
        <v>46254</v>
      </c>
      <c r="K25" s="6" t="s">
        <v>447</v>
      </c>
      <c r="L25" s="6" t="s">
        <v>448</v>
      </c>
      <c r="M25" s="6" t="s">
        <v>449</v>
      </c>
      <c r="N25" s="2">
        <f>IF(AND($M$25="Yes",$L$25&lt;&gt;"ok"),"Flagged: "&amp;$L$25,"")</f>
      </c>
    </row>
    <row r="26" spans="2:14" x14ac:dyDescent="0.25">
      <c r="B26" s="2" t="s">
        <v>458</v>
      </c>
      <c r="C26" s="2" t="s">
        <v>4</v>
      </c>
      <c r="D26" s="6" t="s">
        <v>459</v>
      </c>
      <c r="E26" s="6" t="s">
        <v>460</v>
      </c>
      <c r="F26" s="6" t="s">
        <v>251</v>
      </c>
      <c r="G26" s="6" t="s">
        <v>444</v>
      </c>
      <c r="H26" s="6" t="s">
        <v>445</v>
      </c>
      <c r="I26" s="10" t="s">
        <v>461</v>
      </c>
      <c r="J26" s="17">
        <v>46254</v>
      </c>
      <c r="K26" s="6" t="s">
        <v>447</v>
      </c>
      <c r="L26" s="6" t="s">
        <v>462</v>
      </c>
      <c r="M26" s="6" t="s">
        <v>449</v>
      </c>
      <c r="N26" s="2">
        <f>IF(AND($M$26="Yes",$L$26&lt;&gt;"ok"),"Flagged: "&amp;$L$26,"")</f>
      </c>
    </row>
    <row r="27" spans="2:15" x14ac:dyDescent="0.25">
      <c r="B27" s="2" t="s">
        <v>463</v>
      </c>
      <c r="C27" s="2" t="s">
        <v>4</v>
      </c>
      <c r="D27" s="6" t="s">
        <v>464</v>
      </c>
      <c r="E27" s="22">
        <v>0.07</v>
      </c>
      <c r="F27" s="6" t="s">
        <v>443</v>
      </c>
      <c r="G27" s="6" t="s">
        <v>444</v>
      </c>
      <c r="H27" s="6" t="s">
        <v>445</v>
      </c>
      <c r="I27" s="10" t="s">
        <v>461</v>
      </c>
      <c r="J27" s="17">
        <v>46254</v>
      </c>
      <c r="K27" s="6" t="s">
        <v>447</v>
      </c>
      <c r="L27" s="6" t="s">
        <v>462</v>
      </c>
      <c r="M27" s="6" t="s">
        <v>449</v>
      </c>
      <c r="N27" s="2">
        <f>IF(AND($M$27="Yes",$L$27&lt;&gt;"ok"),"Flagged: "&amp;$L$27,"")</f>
      </c>
      <c r="O27" s="2" t="s">
        <v>465</v>
      </c>
    </row>
    <row r="28" spans="2:15" x14ac:dyDescent="0.25">
      <c r="B28" s="2" t="s">
        <v>466</v>
      </c>
      <c r="C28" s="2" t="s">
        <v>4</v>
      </c>
      <c r="D28" s="6" t="s">
        <v>467</v>
      </c>
      <c r="E28" s="6" t="s">
        <v>468</v>
      </c>
      <c r="F28" s="6" t="s">
        <v>469</v>
      </c>
      <c r="G28" s="6" t="s">
        <v>444</v>
      </c>
      <c r="H28" s="6" t="s">
        <v>470</v>
      </c>
      <c r="I28" s="10" t="s">
        <v>457</v>
      </c>
      <c r="J28" s="17">
        <v>46288</v>
      </c>
      <c r="K28" s="6" t="s">
        <v>447</v>
      </c>
      <c r="L28" s="6" t="s">
        <v>471</v>
      </c>
      <c r="M28" s="6" t="s">
        <v>449</v>
      </c>
      <c r="N28" s="2">
        <f>IF(AND($M$28="Yes",$L$28&lt;&gt;"ok"),"Flagged: "&amp;$L$28,"")</f>
      </c>
      <c r="O28" s="2" t="s">
        <v>472</v>
      </c>
    </row>
    <row r="29" spans="2:15" x14ac:dyDescent="0.25">
      <c r="B29" s="2" t="s">
        <v>473</v>
      </c>
      <c r="C29" s="2" t="s">
        <v>4</v>
      </c>
      <c r="D29" s="6" t="s">
        <v>474</v>
      </c>
      <c r="E29" s="22">
        <v>0.145</v>
      </c>
      <c r="F29" s="6" t="s">
        <v>443</v>
      </c>
      <c r="G29" s="6" t="s">
        <v>444</v>
      </c>
      <c r="H29" s="6" t="s">
        <v>475</v>
      </c>
      <c r="I29" s="10" t="s">
        <v>476</v>
      </c>
      <c r="J29" s="17">
        <v>46265</v>
      </c>
      <c r="K29" s="6" t="s">
        <v>447</v>
      </c>
      <c r="L29" s="6" t="s">
        <v>462</v>
      </c>
      <c r="M29" s="6" t="s">
        <v>449</v>
      </c>
      <c r="N29" s="2">
        <f>IF(AND($M$29="Yes",$L$29&lt;&gt;"ok"),"Flagged: "&amp;$L$29,"")</f>
      </c>
      <c r="O29" s="2" t="s">
        <v>477</v>
      </c>
    </row>
    <row r="30" spans="2:14" x14ac:dyDescent="0.25">
      <c r="B30" s="2" t="s">
        <v>478</v>
      </c>
      <c r="C30" s="2" t="s">
        <v>4</v>
      </c>
      <c r="D30" s="6" t="s">
        <v>479</v>
      </c>
      <c r="E30" s="22">
        <v>0.149</v>
      </c>
      <c r="F30" s="6" t="s">
        <v>443</v>
      </c>
      <c r="G30" s="6" t="s">
        <v>444</v>
      </c>
      <c r="H30" s="6" t="s">
        <v>445</v>
      </c>
      <c r="I30" s="10" t="s">
        <v>476</v>
      </c>
      <c r="J30" s="17">
        <v>46265</v>
      </c>
      <c r="K30" s="6" t="s">
        <v>447</v>
      </c>
      <c r="L30" s="6" t="s">
        <v>462</v>
      </c>
      <c r="M30" s="6" t="s">
        <v>449</v>
      </c>
      <c r="N30" s="2">
        <f>IF(AND($M$30="Yes",$L$30&lt;&gt;"ok"),"Flagged: "&amp;$L$30,"")</f>
      </c>
    </row>
    <row r="31" spans="2:14" x14ac:dyDescent="0.25">
      <c r="B31" s="2" t="s">
        <v>480</v>
      </c>
      <c r="C31" s="2" t="s">
        <v>4</v>
      </c>
      <c r="D31" s="6" t="s">
        <v>481</v>
      </c>
      <c r="E31" s="22">
        <v>0.127</v>
      </c>
      <c r="F31" s="6" t="s">
        <v>443</v>
      </c>
      <c r="G31" s="6" t="s">
        <v>444</v>
      </c>
      <c r="H31" s="6" t="s">
        <v>482</v>
      </c>
      <c r="I31" s="6" t="s">
        <v>483</v>
      </c>
      <c r="J31" s="17">
        <v>46265</v>
      </c>
      <c r="K31" s="6" t="s">
        <v>447</v>
      </c>
      <c r="L31" s="6" t="s">
        <v>462</v>
      </c>
      <c r="M31" s="6" t="s">
        <v>449</v>
      </c>
      <c r="N31" s="2">
        <f>IF(AND($M$31="Yes",$L$31&lt;&gt;"ok"),"Flagged: "&amp;$L$31,"")</f>
      </c>
    </row>
    <row r="32" spans="2:15" x14ac:dyDescent="0.25">
      <c r="B32" s="2" t="s">
        <v>484</v>
      </c>
      <c r="C32" s="2" t="s">
        <v>4</v>
      </c>
      <c r="D32" s="6" t="s">
        <v>485</v>
      </c>
      <c r="E32" s="23">
        <v>51.9</v>
      </c>
      <c r="F32" s="6" t="s">
        <v>486</v>
      </c>
      <c r="G32" s="6" t="s">
        <v>487</v>
      </c>
      <c r="H32" s="6" t="s">
        <v>488</v>
      </c>
      <c r="I32" s="6" t="s">
        <v>483</v>
      </c>
      <c r="J32" s="17">
        <v>46286</v>
      </c>
      <c r="K32" s="6" t="s">
        <v>447</v>
      </c>
      <c r="L32" s="6" t="s">
        <v>462</v>
      </c>
      <c r="M32" s="6" t="s">
        <v>489</v>
      </c>
      <c r="N32" s="2">
        <f>IF(AND($M$32="Yes",$L$32&lt;&gt;"ok"),"Flagged: "&amp;$L$32,"")</f>
      </c>
      <c r="O32" s="2" t="s">
        <v>490</v>
      </c>
    </row>
    <row r="33" spans="2:15" x14ac:dyDescent="0.25">
      <c r="B33" s="2" t="s">
        <v>491</v>
      </c>
      <c r="C33" s="2" t="s">
        <v>4</v>
      </c>
      <c r="D33" s="6" t="s">
        <v>492</v>
      </c>
      <c r="E33" s="22">
        <v>0.2158</v>
      </c>
      <c r="F33" s="6" t="s">
        <v>443</v>
      </c>
      <c r="G33" s="6" t="s">
        <v>487</v>
      </c>
      <c r="H33" s="6" t="s">
        <v>493</v>
      </c>
      <c r="I33" s="6" t="s">
        <v>483</v>
      </c>
      <c r="J33" s="17">
        <v>46163</v>
      </c>
      <c r="K33" s="6" t="s">
        <v>447</v>
      </c>
      <c r="L33" s="6" t="s">
        <v>448</v>
      </c>
      <c r="M33" s="6" t="s">
        <v>489</v>
      </c>
      <c r="N33" s="2">
        <f>IF(AND($M$33="Yes",$L$33&lt;&gt;"ok"),"Flagged: "&amp;$L$33,"")</f>
      </c>
      <c r="O33" s="2" t="s">
        <v>494</v>
      </c>
    </row>
    <row r="34" spans="2:15" x14ac:dyDescent="0.25">
      <c r="B34" s="2" t="s">
        <v>495</v>
      </c>
      <c r="C34" s="2" t="s">
        <v>4</v>
      </c>
      <c r="D34" s="6" t="s">
        <v>496</v>
      </c>
      <c r="E34" s="22">
        <v>0.23146999999999998</v>
      </c>
      <c r="F34" s="6" t="s">
        <v>443</v>
      </c>
      <c r="G34" s="6" t="s">
        <v>444</v>
      </c>
      <c r="H34" s="6" t="s">
        <v>497</v>
      </c>
      <c r="I34" s="10" t="s">
        <v>498</v>
      </c>
      <c r="J34" s="17">
        <v>46216</v>
      </c>
      <c r="K34" s="6" t="s">
        <v>447</v>
      </c>
      <c r="L34" s="6" t="s">
        <v>448</v>
      </c>
      <c r="M34" s="6" t="s">
        <v>449</v>
      </c>
      <c r="N34" s="2">
        <f>IF(AND($M$34="Yes",$L$34&lt;&gt;"ok"),"Flagged: "&amp;$L$34,"")</f>
      </c>
      <c r="O34" s="2" t="s">
        <v>499</v>
      </c>
    </row>
    <row r="35" spans="2:15" x14ac:dyDescent="0.25">
      <c r="B35" s="2" t="s">
        <v>500</v>
      </c>
      <c r="C35" s="2" t="s">
        <v>4</v>
      </c>
      <c r="D35" s="6" t="s">
        <v>501</v>
      </c>
      <c r="E35" s="22">
        <v>0.051</v>
      </c>
      <c r="F35" s="6" t="s">
        <v>443</v>
      </c>
      <c r="G35" s="6" t="s">
        <v>487</v>
      </c>
      <c r="H35" s="6" t="s">
        <v>502</v>
      </c>
      <c r="I35" s="10" t="s">
        <v>503</v>
      </c>
      <c r="J35" s="17">
        <v>46288</v>
      </c>
      <c r="K35" s="6" t="s">
        <v>447</v>
      </c>
      <c r="L35" s="6" t="s">
        <v>462</v>
      </c>
      <c r="M35" s="6" t="s">
        <v>489</v>
      </c>
      <c r="N35" s="2">
        <f>IF(AND($M$35="Yes",$L$35&lt;&gt;"ok"),"Flagged: "&amp;$L$35,"")</f>
      </c>
      <c r="O35" s="2" t="s">
        <v>504</v>
      </c>
    </row>
    <row r="36" spans="2:14" x14ac:dyDescent="0.25">
      <c r="B36" s="2" t="s">
        <v>505</v>
      </c>
      <c r="C36" s="2" t="s">
        <v>4</v>
      </c>
      <c r="D36" s="6" t="s">
        <v>506</v>
      </c>
      <c r="E36" s="6" t="s">
        <v>507</v>
      </c>
      <c r="F36" s="6" t="s">
        <v>508</v>
      </c>
      <c r="G36" s="6" t="s">
        <v>444</v>
      </c>
      <c r="H36" s="6" t="s">
        <v>509</v>
      </c>
      <c r="I36" s="10" t="s">
        <v>510</v>
      </c>
      <c r="J36" s="17">
        <v>46115</v>
      </c>
      <c r="K36" s="6" t="s">
        <v>447</v>
      </c>
      <c r="L36" s="6" t="s">
        <v>462</v>
      </c>
      <c r="M36" s="6" t="s">
        <v>449</v>
      </c>
      <c r="N36" s="2">
        <f>IF(AND($M$36="Yes",$L$36&lt;&gt;"ok"),"Flagged: "&amp;$L$36,"")</f>
      </c>
    </row>
    <row r="37" spans="2:15" x14ac:dyDescent="0.25">
      <c r="B37" s="2" t="s">
        <v>511</v>
      </c>
      <c r="C37" s="2" t="s">
        <v>4</v>
      </c>
      <c r="D37" s="6" t="s">
        <v>512</v>
      </c>
      <c r="E37" s="6" t="s">
        <v>513</v>
      </c>
      <c r="F37" s="6" t="s">
        <v>508</v>
      </c>
      <c r="G37" s="6" t="s">
        <v>444</v>
      </c>
      <c r="H37" s="6" t="s">
        <v>514</v>
      </c>
      <c r="I37" s="6" t="s">
        <v>483</v>
      </c>
      <c r="J37" s="17">
        <v>46123</v>
      </c>
      <c r="K37" s="6" t="s">
        <v>447</v>
      </c>
      <c r="L37" s="6" t="s">
        <v>462</v>
      </c>
      <c r="M37" s="6" t="s">
        <v>449</v>
      </c>
      <c r="N37" s="2">
        <f>IF(AND($M$37="Yes",$L$37&lt;&gt;"ok"),"Flagged: "&amp;$L$37,"")</f>
      </c>
      <c r="O37" s="2" t="s">
        <v>515</v>
      </c>
    </row>
    <row r="38" spans="2:15" x14ac:dyDescent="0.25">
      <c r="B38" s="2" t="s">
        <v>516</v>
      </c>
      <c r="C38" s="2" t="s">
        <v>4</v>
      </c>
      <c r="D38" s="6" t="s">
        <v>517</v>
      </c>
      <c r="E38" s="6" t="s">
        <v>513</v>
      </c>
      <c r="F38" s="6" t="s">
        <v>508</v>
      </c>
      <c r="G38" s="6" t="s">
        <v>444</v>
      </c>
      <c r="H38" s="6" t="s">
        <v>518</v>
      </c>
      <c r="I38" s="10" t="s">
        <v>519</v>
      </c>
      <c r="J38" s="17">
        <v>45941</v>
      </c>
      <c r="K38" s="6" t="s">
        <v>447</v>
      </c>
      <c r="L38" s="6" t="s">
        <v>471</v>
      </c>
      <c r="M38" s="6" t="s">
        <v>449</v>
      </c>
      <c r="N38" s="2">
        <f>IF(AND($M$38="Yes",$L$38&lt;&gt;"ok"),"Flagged: "&amp;$L$38,"")</f>
      </c>
      <c r="O38" s="2" t="s">
        <v>520</v>
      </c>
    </row>
    <row r="39" spans="2:14" x14ac:dyDescent="0.25">
      <c r="B39" s="2" t="s">
        <v>521</v>
      </c>
      <c r="C39" s="2" t="s">
        <v>4</v>
      </c>
      <c r="D39" s="6" t="s">
        <v>522</v>
      </c>
      <c r="E39" s="22">
        <v>0.225</v>
      </c>
      <c r="F39" s="6" t="s">
        <v>443</v>
      </c>
      <c r="G39" s="6" t="s">
        <v>523</v>
      </c>
      <c r="H39" s="6" t="s">
        <v>524</v>
      </c>
      <c r="I39" s="6" t="s">
        <v>483</v>
      </c>
      <c r="J39" s="17">
        <v>46288</v>
      </c>
      <c r="K39" s="6" t="s">
        <v>447</v>
      </c>
      <c r="L39" s="6" t="s">
        <v>462</v>
      </c>
      <c r="M39" s="6" t="s">
        <v>489</v>
      </c>
      <c r="N39" s="2">
        <f>IF(AND($M$39="Yes",$L$39&lt;&gt;"ok"),"Flagged: "&amp;$L$39,"")</f>
      </c>
    </row>
    <row r="40" spans="2:15" x14ac:dyDescent="0.25">
      <c r="B40" s="2" t="s">
        <v>525</v>
      </c>
      <c r="C40" s="2" t="s">
        <v>4</v>
      </c>
      <c r="D40" s="6" t="s">
        <v>526</v>
      </c>
      <c r="E40" s="22">
        <v>0.05</v>
      </c>
      <c r="F40" s="6" t="s">
        <v>443</v>
      </c>
      <c r="G40" s="6" t="s">
        <v>523</v>
      </c>
      <c r="H40" s="6" t="s">
        <v>527</v>
      </c>
      <c r="I40" s="6" t="s">
        <v>483</v>
      </c>
      <c r="J40" s="17">
        <v>46232</v>
      </c>
      <c r="K40" s="6" t="s">
        <v>447</v>
      </c>
      <c r="L40" s="6" t="s">
        <v>462</v>
      </c>
      <c r="M40" s="6" t="s">
        <v>449</v>
      </c>
      <c r="N40" s="2">
        <f>IF(AND($M$40="Yes",$L$40&lt;&gt;"ok"),"Flagged: "&amp;$L$40,"")</f>
      </c>
      <c r="O40" s="2" t="s">
        <v>528</v>
      </c>
    </row>
    <row r="41" spans="2:14" x14ac:dyDescent="0.25">
      <c r="B41" s="2" t="s">
        <v>529</v>
      </c>
      <c r="C41" s="2" t="s">
        <v>4</v>
      </c>
      <c r="D41" s="6" t="s">
        <v>530</v>
      </c>
      <c r="E41" s="22">
        <v>0.1</v>
      </c>
      <c r="F41" s="6" t="s">
        <v>443</v>
      </c>
      <c r="G41" s="6" t="s">
        <v>523</v>
      </c>
      <c r="H41" s="6" t="s">
        <v>527</v>
      </c>
      <c r="I41" s="6" t="s">
        <v>483</v>
      </c>
      <c r="J41" s="17">
        <v>46232</v>
      </c>
      <c r="K41" s="6" t="s">
        <v>447</v>
      </c>
      <c r="L41" s="6" t="s">
        <v>462</v>
      </c>
      <c r="M41" s="6" t="s">
        <v>449</v>
      </c>
      <c r="N41" s="2">
        <f>IF(AND($M$41="Yes",$L$41&lt;&gt;"ok"),"Flagged: "&amp;$L$41,"")</f>
      </c>
    </row>
    <row r="42" spans="2:14" x14ac:dyDescent="0.25">
      <c r="B42" s="2" t="s">
        <v>531</v>
      </c>
      <c r="C42" s="2" t="s">
        <v>4</v>
      </c>
      <c r="D42" s="6" t="s">
        <v>532</v>
      </c>
      <c r="E42" s="6" t="s">
        <v>533</v>
      </c>
      <c r="F42" s="6" t="s">
        <v>251</v>
      </c>
      <c r="G42" s="6" t="s">
        <v>523</v>
      </c>
      <c r="H42" s="6" t="s">
        <v>527</v>
      </c>
      <c r="I42" s="6" t="s">
        <v>483</v>
      </c>
      <c r="J42" s="17">
        <v>46232</v>
      </c>
      <c r="K42" s="6" t="s">
        <v>447</v>
      </c>
      <c r="L42" s="6" t="s">
        <v>462</v>
      </c>
      <c r="M42" s="6" t="s">
        <v>449</v>
      </c>
      <c r="N42" s="2">
        <f>IF(AND($M$42="Yes",$L$42&lt;&gt;"ok"),"Flagged: "&amp;$L$42,"")</f>
      </c>
    </row>
    <row r="43" spans="2:15" x14ac:dyDescent="0.25">
      <c r="B43" s="2" t="s">
        <v>534</v>
      </c>
      <c r="C43" s="2" t="s">
        <v>4</v>
      </c>
      <c r="D43" s="6" t="s">
        <v>535</v>
      </c>
      <c r="E43" s="22">
        <v>0.0005</v>
      </c>
      <c r="F43" s="6" t="s">
        <v>443</v>
      </c>
      <c r="G43" s="6" t="s">
        <v>523</v>
      </c>
      <c r="H43" s="6" t="s">
        <v>527</v>
      </c>
      <c r="I43" s="6" t="s">
        <v>483</v>
      </c>
      <c r="J43" s="17">
        <v>46232</v>
      </c>
      <c r="K43" s="6" t="s">
        <v>447</v>
      </c>
      <c r="L43" s="6" t="s">
        <v>462</v>
      </c>
      <c r="M43" s="6" t="s">
        <v>449</v>
      </c>
      <c r="N43" s="2">
        <f>IF(AND($M$43="Yes",$L$43&lt;&gt;"ok"),"Flagged: "&amp;$L$43,"")</f>
      </c>
      <c r="O43" s="2" t="s">
        <v>536</v>
      </c>
    </row>
    <row r="44" spans="2:14" x14ac:dyDescent="0.25">
      <c r="B44" s="2" t="s">
        <v>537</v>
      </c>
      <c r="C44" s="2" t="s">
        <v>4</v>
      </c>
      <c r="D44" s="6" t="s">
        <v>538</v>
      </c>
      <c r="E44" s="6" t="s">
        <v>539</v>
      </c>
      <c r="F44" s="6" t="s">
        <v>251</v>
      </c>
      <c r="G44" s="6" t="s">
        <v>523</v>
      </c>
      <c r="H44" s="6" t="s">
        <v>527</v>
      </c>
      <c r="I44" s="6" t="s">
        <v>483</v>
      </c>
      <c r="J44" s="17">
        <v>46232</v>
      </c>
      <c r="K44" s="6" t="s">
        <v>447</v>
      </c>
      <c r="L44" s="6" t="s">
        <v>462</v>
      </c>
      <c r="M44" s="6" t="s">
        <v>449</v>
      </c>
      <c r="N44" s="2">
        <f>IF(AND($M$44="Yes",$L$44&lt;&gt;"ok"),"Flagged: "&amp;$L$44,"")</f>
      </c>
    </row>
    <row r="45" spans="2:15" x14ac:dyDescent="0.25">
      <c r="B45" s="2" t="s">
        <v>540</v>
      </c>
      <c r="C45" s="2" t="s">
        <v>4</v>
      </c>
      <c r="D45" s="6" t="s">
        <v>541</v>
      </c>
      <c r="E45" s="22">
        <v>0.042</v>
      </c>
      <c r="F45" s="6" t="s">
        <v>443</v>
      </c>
      <c r="G45" s="6" t="s">
        <v>542</v>
      </c>
      <c r="H45" s="6" t="s">
        <v>543</v>
      </c>
      <c r="I45" s="10" t="s">
        <v>544</v>
      </c>
      <c r="J45" s="17">
        <v>46204</v>
      </c>
      <c r="K45" s="6" t="s">
        <v>447</v>
      </c>
      <c r="L45" s="6" t="s">
        <v>462</v>
      </c>
      <c r="M45" s="6" t="s">
        <v>489</v>
      </c>
      <c r="N45" s="2">
        <f>IF(AND($M$45="Yes",$L$45&lt;&gt;"ok"),"Flagged: "&amp;$L$45,"")</f>
      </c>
      <c r="O45" s="2" t="s">
        <v>545</v>
      </c>
    </row>
    <row r="46" spans="2:15" x14ac:dyDescent="0.25">
      <c r="B46" s="2" t="s">
        <v>546</v>
      </c>
      <c r="C46" s="2" t="s">
        <v>4</v>
      </c>
      <c r="D46" s="6" t="s">
        <v>547</v>
      </c>
      <c r="E46" s="23">
        <v>1.554495526258941</v>
      </c>
      <c r="F46" s="6" t="s">
        <v>548</v>
      </c>
      <c r="G46" s="6" t="s">
        <v>542</v>
      </c>
      <c r="H46" s="6" t="s">
        <v>543</v>
      </c>
      <c r="I46" s="10" t="s">
        <v>544</v>
      </c>
      <c r="J46" s="17">
        <v>46204</v>
      </c>
      <c r="K46" s="6" t="s">
        <v>447</v>
      </c>
      <c r="L46" s="6" t="s">
        <v>462</v>
      </c>
      <c r="M46" s="6" t="s">
        <v>449</v>
      </c>
      <c r="N46" s="2">
        <f>IF(AND($M$46="Yes",$L$46&lt;&gt;"ok"),"Flagged: "&amp;$L$46,"")</f>
      </c>
      <c r="O46" s="2" t="s">
        <v>549</v>
      </c>
    </row>
    <row r="47" spans="2:15" x14ac:dyDescent="0.25">
      <c r="B47" s="2" t="s">
        <v>550</v>
      </c>
      <c r="C47" s="2" t="s">
        <v>4</v>
      </c>
      <c r="D47" s="6" t="s">
        <v>551</v>
      </c>
      <c r="E47" s="6" t="s">
        <v>552</v>
      </c>
      <c r="F47" s="6" t="s">
        <v>508</v>
      </c>
      <c r="G47" s="6" t="s">
        <v>542</v>
      </c>
      <c r="H47" s="6" t="s">
        <v>543</v>
      </c>
      <c r="I47" s="10" t="s">
        <v>544</v>
      </c>
      <c r="J47" s="17">
        <v>46204</v>
      </c>
      <c r="K47" s="6" t="s">
        <v>447</v>
      </c>
      <c r="L47" s="6" t="s">
        <v>462</v>
      </c>
      <c r="M47" s="6" t="s">
        <v>449</v>
      </c>
      <c r="N47" s="2">
        <f>IF(AND($M$47="Yes",$L$47&lt;&gt;"ok"),"Flagged: "&amp;$L$47,"")</f>
      </c>
      <c r="O47" s="2" t="s">
        <v>553</v>
      </c>
    </row>
    <row r="48" spans="2:14" x14ac:dyDescent="0.25">
      <c r="B48" s="2" t="s">
        <v>554</v>
      </c>
      <c r="C48" s="2" t="s">
        <v>4</v>
      </c>
      <c r="D48" s="6" t="s">
        <v>555</v>
      </c>
      <c r="E48" s="22">
        <v>0.0597018299895</v>
      </c>
      <c r="F48" s="6" t="s">
        <v>443</v>
      </c>
      <c r="G48" s="6" t="s">
        <v>542</v>
      </c>
      <c r="H48" s="6" t="s">
        <v>543</v>
      </c>
      <c r="I48" s="10" t="s">
        <v>544</v>
      </c>
      <c r="J48" s="17">
        <v>46204</v>
      </c>
      <c r="K48" s="6" t="s">
        <v>447</v>
      </c>
      <c r="L48" s="6" t="s">
        <v>462</v>
      </c>
      <c r="M48" s="6" t="s">
        <v>489</v>
      </c>
      <c r="N48" s="2">
        <f>IF(AND($M$48="Yes",$L$48&lt;&gt;"ok"),"Flagged: "&amp;$L$48,"")</f>
      </c>
    </row>
    <row r="49" spans="2:14" x14ac:dyDescent="0.25">
      <c r="B49" s="2" t="s">
        <v>556</v>
      </c>
      <c r="C49" s="2" t="s">
        <v>4</v>
      </c>
      <c r="D49" s="6" t="s">
        <v>557</v>
      </c>
      <c r="E49" s="22">
        <v>0.0928062276282</v>
      </c>
      <c r="F49" s="6" t="s">
        <v>443</v>
      </c>
      <c r="G49" s="6" t="s">
        <v>542</v>
      </c>
      <c r="H49" s="6" t="s">
        <v>543</v>
      </c>
      <c r="I49" s="10" t="s">
        <v>544</v>
      </c>
      <c r="J49" s="17">
        <v>46204</v>
      </c>
      <c r="K49" s="6" t="s">
        <v>447</v>
      </c>
      <c r="L49" s="6" t="s">
        <v>462</v>
      </c>
      <c r="M49" s="6" t="s">
        <v>489</v>
      </c>
      <c r="N49" s="2">
        <f>IF(AND($M$49="Yes",$L$49&lt;&gt;"ok"),"Flagged: "&amp;$L$49,"")</f>
      </c>
    </row>
    <row r="50" spans="2:14" x14ac:dyDescent="0.25">
      <c r="B50" s="2" t="s">
        <v>558</v>
      </c>
      <c r="C50" s="2" t="s">
        <v>4</v>
      </c>
      <c r="D50" s="6" t="s">
        <v>559</v>
      </c>
      <c r="E50" s="22">
        <v>0.13480622762799999</v>
      </c>
      <c r="F50" s="6" t="s">
        <v>443</v>
      </c>
      <c r="G50" s="6" t="s">
        <v>542</v>
      </c>
      <c r="H50" s="6" t="s">
        <v>543</v>
      </c>
      <c r="I50" s="10" t="s">
        <v>544</v>
      </c>
      <c r="J50" s="17">
        <v>46204</v>
      </c>
      <c r="K50" s="6" t="s">
        <v>447</v>
      </c>
      <c r="L50" s="6" t="s">
        <v>462</v>
      </c>
      <c r="M50" s="6" t="s">
        <v>449</v>
      </c>
      <c r="N50" s="2">
        <f>IF(AND($M$50="Yes",$L$50&lt;&gt;"ok"),"Flagged: "&amp;$L$50,"")</f>
      </c>
    </row>
    <row r="51" spans="2:15" x14ac:dyDescent="0.25">
      <c r="B51" s="2" t="s">
        <v>560</v>
      </c>
      <c r="C51" s="2" t="s">
        <v>4</v>
      </c>
      <c r="D51" s="6" t="s">
        <v>561</v>
      </c>
      <c r="E51" s="22">
        <v>0.102044276177</v>
      </c>
      <c r="F51" s="6" t="s">
        <v>443</v>
      </c>
      <c r="G51" s="6" t="s">
        <v>542</v>
      </c>
      <c r="H51" s="6" t="s">
        <v>543</v>
      </c>
      <c r="I51" s="10" t="s">
        <v>562</v>
      </c>
      <c r="J51" s="17">
        <v>46204</v>
      </c>
      <c r="K51" s="6" t="s">
        <v>447</v>
      </c>
      <c r="L51" s="6" t="s">
        <v>462</v>
      </c>
      <c r="M51" s="6" t="s">
        <v>449</v>
      </c>
      <c r="N51" s="2">
        <f>IF(AND($M$51="Yes",$L$51&lt;&gt;"ok"),"Flagged: "&amp;$L$51,"")</f>
      </c>
      <c r="O51" s="2" t="s">
        <v>563</v>
      </c>
    </row>
    <row r="52" spans="2:14" x14ac:dyDescent="0.25">
      <c r="B52" s="2" t="s">
        <v>564</v>
      </c>
      <c r="C52" s="2" t="s">
        <v>4</v>
      </c>
      <c r="D52" s="6" t="s">
        <v>565</v>
      </c>
      <c r="E52" s="22">
        <v>0.042300000000000004</v>
      </c>
      <c r="F52" s="6" t="s">
        <v>443</v>
      </c>
      <c r="G52" s="6" t="s">
        <v>542</v>
      </c>
      <c r="H52" s="6" t="s">
        <v>543</v>
      </c>
      <c r="I52" s="10" t="s">
        <v>562</v>
      </c>
      <c r="J52" s="17">
        <v>46204</v>
      </c>
      <c r="K52" s="6" t="s">
        <v>447</v>
      </c>
      <c r="L52" s="6" t="s">
        <v>462</v>
      </c>
      <c r="M52" s="6" t="s">
        <v>449</v>
      </c>
      <c r="N52" s="2">
        <f>IF(AND($M$52="Yes",$L$52&lt;&gt;"ok"),"Flagged: "&amp;$L$52,"")</f>
      </c>
    </row>
    <row r="53" spans="2:14" x14ac:dyDescent="0.25">
      <c r="B53" s="2" t="s">
        <v>566</v>
      </c>
      <c r="C53" s="2" t="s">
        <v>4</v>
      </c>
      <c r="D53" s="6" t="s">
        <v>567</v>
      </c>
      <c r="E53" s="22">
        <v>0.08216666666669999</v>
      </c>
      <c r="F53" s="6" t="s">
        <v>443</v>
      </c>
      <c r="G53" s="6" t="s">
        <v>542</v>
      </c>
      <c r="H53" s="6" t="s">
        <v>543</v>
      </c>
      <c r="I53" s="10" t="s">
        <v>562</v>
      </c>
      <c r="J53" s="17">
        <v>46204</v>
      </c>
      <c r="K53" s="6" t="s">
        <v>447</v>
      </c>
      <c r="L53" s="6" t="s">
        <v>462</v>
      </c>
      <c r="M53" s="6" t="s">
        <v>449</v>
      </c>
      <c r="N53" s="2">
        <f>IF(AND($M$53="Yes",$L$53&lt;&gt;"ok"),"Flagged: "&amp;$L$53,"")</f>
      </c>
    </row>
    <row r="54" spans="2:14" x14ac:dyDescent="0.25">
      <c r="B54" s="2" t="s">
        <v>568</v>
      </c>
      <c r="C54" s="2" t="s">
        <v>4</v>
      </c>
      <c r="D54" s="6" t="s">
        <v>569</v>
      </c>
      <c r="E54" s="22">
        <v>0.0235</v>
      </c>
      <c r="F54" s="6" t="s">
        <v>443</v>
      </c>
      <c r="G54" s="6" t="s">
        <v>542</v>
      </c>
      <c r="H54" s="6" t="s">
        <v>543</v>
      </c>
      <c r="I54" s="10" t="s">
        <v>562</v>
      </c>
      <c r="J54" s="17">
        <v>46204</v>
      </c>
      <c r="K54" s="6" t="s">
        <v>447</v>
      </c>
      <c r="L54" s="6" t="s">
        <v>462</v>
      </c>
      <c r="M54" s="6" t="s">
        <v>449</v>
      </c>
      <c r="N54" s="2">
        <f>IF(AND($M$54="Yes",$L$54&lt;&gt;"ok"),"Flagged: "&amp;$L$54,"")</f>
      </c>
    </row>
    <row r="55" spans="2:15" x14ac:dyDescent="0.25">
      <c r="B55" s="2" t="s">
        <v>570</v>
      </c>
      <c r="C55" s="2" t="s">
        <v>4</v>
      </c>
      <c r="D55" s="6" t="s">
        <v>571</v>
      </c>
      <c r="E55" s="6" t="s">
        <v>572</v>
      </c>
      <c r="F55" s="6" t="s">
        <v>573</v>
      </c>
      <c r="G55" s="6" t="s">
        <v>542</v>
      </c>
      <c r="H55" s="6" t="s">
        <v>543</v>
      </c>
      <c r="I55" s="10" t="s">
        <v>574</v>
      </c>
      <c r="J55" s="17">
        <v>46027</v>
      </c>
      <c r="K55" s="6" t="s">
        <v>447</v>
      </c>
      <c r="L55" s="6" t="s">
        <v>462</v>
      </c>
      <c r="M55" s="6" t="s">
        <v>489</v>
      </c>
      <c r="N55" s="2">
        <f>IF(AND($M$55="Yes",$L$55&lt;&gt;"ok"),"Flagged: "&amp;$L$55,"")</f>
      </c>
      <c r="O55" s="2" t="s">
        <v>575</v>
      </c>
    </row>
    <row r="56" spans="2:15" x14ac:dyDescent="0.25">
      <c r="B56" s="2" t="s">
        <v>576</v>
      </c>
      <c r="C56" s="2" t="s">
        <v>4</v>
      </c>
      <c r="D56" s="6" t="s">
        <v>577</v>
      </c>
      <c r="E56" s="6" t="s">
        <v>578</v>
      </c>
      <c r="F56" s="6" t="s">
        <v>573</v>
      </c>
      <c r="G56" s="6" t="s">
        <v>542</v>
      </c>
      <c r="H56" s="6" t="s">
        <v>543</v>
      </c>
      <c r="I56" s="10" t="s">
        <v>579</v>
      </c>
      <c r="J56" s="17">
        <v>46023</v>
      </c>
      <c r="K56" s="6" t="s">
        <v>447</v>
      </c>
      <c r="L56" s="6" t="s">
        <v>462</v>
      </c>
      <c r="M56" s="6" t="s">
        <v>449</v>
      </c>
      <c r="N56" s="2">
        <f>IF(AND($M$56="Yes",$L$56&lt;&gt;"ok"),"Flagged: "&amp;$L$56,"")</f>
      </c>
      <c r="O56" s="2" t="s">
        <v>580</v>
      </c>
    </row>
    <row r="57" spans="2:15" x14ac:dyDescent="0.25">
      <c r="B57" s="2" t="s">
        <v>581</v>
      </c>
      <c r="C57" s="2" t="s">
        <v>4</v>
      </c>
      <c r="D57" s="6" t="s">
        <v>582</v>
      </c>
      <c r="E57" s="6" t="s">
        <v>578</v>
      </c>
      <c r="F57" s="6" t="s">
        <v>573</v>
      </c>
      <c r="G57" s="6" t="s">
        <v>542</v>
      </c>
      <c r="H57" s="6" t="s">
        <v>543</v>
      </c>
      <c r="I57" s="10" t="s">
        <v>579</v>
      </c>
      <c r="J57" s="17">
        <v>46023</v>
      </c>
      <c r="K57" s="6" t="s">
        <v>447</v>
      </c>
      <c r="L57" s="6" t="s">
        <v>462</v>
      </c>
      <c r="M57" s="6" t="s">
        <v>489</v>
      </c>
      <c r="N57" s="2">
        <f>IF(AND($M$57="Yes",$L$57&lt;&gt;"ok"),"Flagged: "&amp;$L$57,"")</f>
      </c>
      <c r="O57" s="2" t="s">
        <v>580</v>
      </c>
    </row>
  </sheetData>
  <hyperlinks>
    <hyperlink ref="I22" r:id="rId1"/>
    <hyperlink ref="I23" r:id="rId2"/>
    <hyperlink ref="I24" r:id="rId3"/>
    <hyperlink ref="I25" r:id="rId4"/>
    <hyperlink ref="I26" r:id="rId5"/>
    <hyperlink ref="I27" r:id="rId6"/>
    <hyperlink ref="I28" r:id="rId7"/>
    <hyperlink ref="I29" r:id="rId8"/>
    <hyperlink ref="I30" r:id="rId9"/>
    <hyperlink ref="I34" r:id="rId10"/>
    <hyperlink ref="I35" r:id="rId11"/>
    <hyperlink ref="I36" r:id="rId12"/>
    <hyperlink ref="I38" r:id="rId13"/>
    <hyperlink ref="I45" r:id="rId14"/>
    <hyperlink ref="I46" r:id="rId15"/>
    <hyperlink ref="I47" r:id="rId16"/>
    <hyperlink ref="I48" r:id="rId17"/>
    <hyperlink ref="I49" r:id="rId18"/>
    <hyperlink ref="I50" r:id="rId19"/>
    <hyperlink ref="I51" r:id="rId20"/>
    <hyperlink ref="I52" r:id="rId21"/>
    <hyperlink ref="I53" r:id="rId22"/>
    <hyperlink ref="I54" r:id="rId23"/>
    <hyperlink ref="I55" r:id="rId24"/>
    <hyperlink ref="I56" r:id="rId25"/>
    <hyperlink ref="I57" r:id="rId26"/>
  </hyperlinks>
  <pageMargins left="0.4" right="0.4" top="0.5" bottom="0.6" header="0.3" footer="0.3"/>
  <pageSetup paperSize="9" orientation="landscape" fitToWidth="1" fitToHeight="0"/>
  <headerFooter>
    <oddFooter>&amp;CMOPCO | Sources |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48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2" customWidth="1"/>
    <col min="3" max="3" width="11" customWidth="1"/>
    <col min="4" max="6" width="17" customWidth="1"/>
    <col min="7" max="7" width="70" customWidth="1"/>
  </cols>
  <sheetData>
    <row r="2" spans="2:2" x14ac:dyDescent="0.25">
      <c r="B2" s="1" t="s">
        <v>583</v>
      </c>
    </row>
    <row r="3" spans="2:2" x14ac:dyDescent="0.25">
      <c r="B3" s="2" t="s">
        <v>584</v>
      </c>
    </row>
    <row r="4" spans="2:2" x14ac:dyDescent="0.25">
      <c r="B4" s="2" t="s">
        <v>2</v>
      </c>
    </row>
    <row r="6" spans="2:7" x14ac:dyDescent="0.25">
      <c r="B6" s="3" t="s">
        <v>585</v>
      </c>
      <c r="C6" s="4"/>
      <c r="D6" s="4"/>
      <c r="E6" s="4"/>
      <c r="F6" s="4"/>
      <c r="G6" s="4"/>
    </row>
    <row r="7" spans="2:7" x14ac:dyDescent="0.25">
      <c r="B7" s="4"/>
      <c r="C7" s="3" t="s">
        <v>4</v>
      </c>
      <c r="D7" s="5" t="s">
        <v>107</v>
      </c>
      <c r="E7" s="5" t="s">
        <v>108</v>
      </c>
      <c r="F7" s="4"/>
      <c r="G7" s="3" t="s">
        <v>6</v>
      </c>
    </row>
    <row r="8" spans="2:5" x14ac:dyDescent="0.25">
      <c r="B8" s="2" t="s">
        <v>292</v>
      </c>
      <c r="C8" s="2" t="s">
        <v>54</v>
      </c>
      <c r="D8" s="2" t="s">
        <v>586</v>
      </c>
      <c r="E8" s="11">
        <f>Inputs!$E$23/Inputs!$D$23-1</f>
      </c>
    </row>
    <row r="9" spans="2:5" x14ac:dyDescent="0.25">
      <c r="B9" s="2" t="s">
        <v>587</v>
      </c>
      <c r="C9" s="2" t="s">
        <v>54</v>
      </c>
      <c r="D9" s="11">
        <f>Inputs!$D$26/Inputs!$D$23</f>
      </c>
      <c r="E9" s="11">
        <f>Inputs!$E$26/Inputs!$E$23</f>
      </c>
    </row>
    <row r="10" spans="2:5" x14ac:dyDescent="0.25">
      <c r="B10" s="2" t="s">
        <v>588</v>
      </c>
      <c r="C10" s="2" t="s">
        <v>54</v>
      </c>
      <c r="D10" s="11">
        <f>(Inputs!$D$36+Inputs!$D$51+Inputs!$D$52)/Inputs!$D$23</f>
      </c>
      <c r="E10" s="11">
        <f>(Inputs!$E$36+Inputs!$E$51+Inputs!$E$52)/Inputs!$E$23</f>
      </c>
    </row>
    <row r="11" spans="2:5" x14ac:dyDescent="0.25">
      <c r="B11" s="2" t="s">
        <v>589</v>
      </c>
      <c r="C11" s="2" t="s">
        <v>54</v>
      </c>
      <c r="D11" s="11">
        <f>Inputs!$D$49/Inputs!$D$23</f>
      </c>
      <c r="E11" s="11">
        <f>Inputs!$E$49/Inputs!$E$23</f>
      </c>
    </row>
    <row r="12" spans="2:5" x14ac:dyDescent="0.25">
      <c r="B12" s="2" t="s">
        <v>590</v>
      </c>
      <c r="C12" s="2" t="s">
        <v>54</v>
      </c>
      <c r="D12" s="11">
        <f>-Inputs!$D$48/Inputs!$D$45</f>
      </c>
      <c r="E12" s="11">
        <f>-Inputs!$E$48/Inputs!$E$45</f>
      </c>
    </row>
    <row r="13" spans="2:5" x14ac:dyDescent="0.25">
      <c r="B13" s="2" t="s">
        <v>591</v>
      </c>
      <c r="C13" s="2" t="s">
        <v>54</v>
      </c>
      <c r="D13" s="11">
        <f>Inputs!$D$49/Inputs!$D$83</f>
      </c>
      <c r="E13" s="11">
        <f>Inputs!$E$49/Inputs!$E$83</f>
      </c>
    </row>
    <row r="14" spans="2:5" x14ac:dyDescent="0.25">
      <c r="B14" s="2" t="s">
        <v>592</v>
      </c>
      <c r="C14" s="2" t="s">
        <v>61</v>
      </c>
      <c r="D14" s="28">
        <f>(Inputs!$D$66+Inputs!$D$67+Inputs!$D$68+Inputs!$D$69+Inputs!$D$70+Inputs!$D$71+Inputs!$D$72+Inputs!$D$73+Inputs!$D$74)/(Inputs!$D$90+Inputs!$D$91+Inputs!$D$92+Inputs!$D$93+Inputs!$D$94+Inputs!$D$95+Inputs!$D$96+Inputs!$D$97+Inputs!$D$98+Inputs!$D$99)</f>
      </c>
      <c r="E14" s="28">
        <f>(Inputs!$E$66+Inputs!$E$67+Inputs!$E$68+Inputs!$E$69+Inputs!$E$70+Inputs!$E$71+Inputs!$E$72+Inputs!$E$73+Inputs!$E$74)/(Inputs!$E$90+Inputs!$E$91+Inputs!$E$92+Inputs!$E$93+Inputs!$E$94+Inputs!$E$95+Inputs!$E$96+Inputs!$E$97+Inputs!$E$98+Inputs!$E$99)</f>
      </c>
    </row>
    <row r="15" spans="2:5" x14ac:dyDescent="0.25">
      <c r="B15" s="2" t="s">
        <v>593</v>
      </c>
      <c r="C15" s="2" t="s">
        <v>14</v>
      </c>
      <c r="D15" s="20">
        <f>Inputs!$D$74+Inputs!$D$69+Inputs!$D$68+Inputs!$D$62-Inputs!$D$90-Inputs!$D$91-(Inputs!$D$84+Inputs!$D$85+Inputs!$D$86)</f>
      </c>
      <c r="E15" s="20">
        <f>Inputs!$E$74+Inputs!$E$69+Inputs!$E$68+Inputs!$E$62-Inputs!$E$90-Inputs!$E$91-(Inputs!$E$84+Inputs!$E$85+Inputs!$E$86)</f>
      </c>
    </row>
    <row r="17" spans="2:7" x14ac:dyDescent="0.25">
      <c r="B17" s="3" t="s">
        <v>594</v>
      </c>
      <c r="C17" s="4"/>
      <c r="D17" s="4"/>
      <c r="E17" s="4"/>
      <c r="F17" s="4"/>
      <c r="G17" s="4"/>
    </row>
    <row r="18" spans="2:7" x14ac:dyDescent="0.25">
      <c r="B18" s="4"/>
      <c r="C18" s="3" t="s">
        <v>4</v>
      </c>
      <c r="D18" s="5" t="s">
        <v>595</v>
      </c>
      <c r="E18" s="5" t="s">
        <v>596</v>
      </c>
      <c r="F18" s="5" t="s">
        <v>597</v>
      </c>
      <c r="G18" s="3" t="s">
        <v>6</v>
      </c>
    </row>
    <row r="19" spans="2:6" x14ac:dyDescent="0.25">
      <c r="B19" s="2" t="s">
        <v>598</v>
      </c>
      <c r="C19" s="2" t="s">
        <v>4</v>
      </c>
      <c r="D19" s="16">
        <f>Inputs!$E$49/Inputs!$E$75</f>
      </c>
      <c r="F19" s="29">
        <f>IF($D$19&gt;0,1,0)</f>
      </c>
    </row>
    <row r="20" spans="2:6" x14ac:dyDescent="0.25">
      <c r="B20" s="2" t="s">
        <v>599</v>
      </c>
      <c r="C20" s="2" t="s">
        <v>4</v>
      </c>
      <c r="D20" s="16">
        <f>Inputs!$E$109</f>
      </c>
      <c r="F20" s="29">
        <f>IF($D$20&gt;0,1,0)</f>
      </c>
    </row>
    <row r="21" spans="2:6" x14ac:dyDescent="0.25">
      <c r="B21" s="2" t="s">
        <v>600</v>
      </c>
      <c r="C21" s="2" t="s">
        <v>4</v>
      </c>
      <c r="D21" s="16">
        <f>Inputs!$E$49/Inputs!$E$75</f>
      </c>
      <c r="E21" s="16">
        <f>Inputs!$D$49/Inputs!$D$75</f>
      </c>
      <c r="F21" s="29">
        <f>IF($D$21&gt;$E$21,1,0)</f>
      </c>
    </row>
    <row r="22" spans="2:6" x14ac:dyDescent="0.25">
      <c r="B22" s="2" t="s">
        <v>601</v>
      </c>
      <c r="C22" s="2" t="s">
        <v>4</v>
      </c>
      <c r="D22" s="16">
        <f>Inputs!$E$109/Inputs!$E$75</f>
      </c>
      <c r="E22" s="16">
        <f>Inputs!$E$49/Inputs!$E$75</f>
      </c>
      <c r="F22" s="29">
        <f>IF($D$22&gt;$E$22,1,0)</f>
      </c>
    </row>
    <row r="23" spans="2:6" x14ac:dyDescent="0.25">
      <c r="B23" s="2" t="s">
        <v>602</v>
      </c>
      <c r="C23" s="2" t="s">
        <v>4</v>
      </c>
      <c r="D23" s="16">
        <f>(Inputs!$E$84+Inputs!$E$85+Inputs!$E$86)/Inputs!$E$75</f>
      </c>
      <c r="E23" s="16">
        <f>(Inputs!$D$84+Inputs!$D$85+Inputs!$D$86)/Inputs!$D$75</f>
      </c>
      <c r="F23" s="29">
        <f>IF($D$23&lt;$E$23,1,0)</f>
      </c>
    </row>
    <row r="24" spans="2:6" x14ac:dyDescent="0.25">
      <c r="B24" s="2" t="s">
        <v>603</v>
      </c>
      <c r="C24" s="2" t="s">
        <v>4</v>
      </c>
      <c r="D24" s="16">
        <f>(Inputs!$E$66+Inputs!$E$67+Inputs!$E$68+Inputs!$E$69+Inputs!$E$70+Inputs!$E$71+Inputs!$E$72+Inputs!$E$73+Inputs!$E$74)/(Inputs!$E$90+Inputs!$E$91+Inputs!$E$92+Inputs!$E$93+Inputs!$E$94+Inputs!$E$95+Inputs!$E$96+Inputs!$E$97+Inputs!$E$98+Inputs!$E$99)</f>
      </c>
      <c r="E24" s="16">
        <f>(Inputs!$D$66+Inputs!$D$67+Inputs!$D$68+Inputs!$D$69+Inputs!$D$70+Inputs!$D$71+Inputs!$D$72+Inputs!$D$73+Inputs!$D$74)/(Inputs!$D$90+Inputs!$D$91+Inputs!$D$92+Inputs!$D$93+Inputs!$D$94+Inputs!$D$95+Inputs!$D$96+Inputs!$D$97+Inputs!$D$98+Inputs!$D$99)</f>
      </c>
      <c r="F24" s="29">
        <f>IF($D$24&gt;$E$24,1,0)</f>
      </c>
    </row>
    <row r="25" spans="2:6" x14ac:dyDescent="0.25">
      <c r="B25" s="2" t="s">
        <v>604</v>
      </c>
      <c r="C25" s="2" t="s">
        <v>4</v>
      </c>
      <c r="D25" s="16">
        <f>Inputs!$D$13</f>
      </c>
      <c r="E25" s="16">
        <f>Inputs!$D$13</f>
      </c>
      <c r="F25" s="29">
        <f>IF($D$25&lt;=$E$25,1,0)</f>
      </c>
    </row>
    <row r="26" spans="2:6" x14ac:dyDescent="0.25">
      <c r="B26" s="2" t="s">
        <v>605</v>
      </c>
      <c r="C26" s="2" t="s">
        <v>4</v>
      </c>
      <c r="D26" s="16">
        <f>Inputs!$E$26/Inputs!$E$23</f>
      </c>
      <c r="E26" s="16">
        <f>Inputs!$D$26/Inputs!$D$23</f>
      </c>
      <c r="F26" s="29">
        <f>IF($D$26&gt;$E$26,1,0)</f>
      </c>
    </row>
    <row r="27" spans="2:6" x14ac:dyDescent="0.25">
      <c r="B27" s="2" t="s">
        <v>606</v>
      </c>
      <c r="C27" s="2" t="s">
        <v>4</v>
      </c>
      <c r="D27" s="16">
        <f>Inputs!$E$23/Inputs!$E$75</f>
      </c>
      <c r="E27" s="16">
        <f>Inputs!$D$23/Inputs!$D$75</f>
      </c>
      <c r="F27" s="29">
        <f>IF($D$27&gt;$E$27,1,0)</f>
      </c>
    </row>
    <row r="28" spans="2:6" x14ac:dyDescent="0.25">
      <c r="B28" s="9" t="s">
        <v>607</v>
      </c>
      <c r="C28" s="2" t="s">
        <v>608</v>
      </c>
      <c r="F28" s="30">
        <f>SUM($F$19:$F$27)</f>
      </c>
    </row>
    <row r="30" spans="2:7" x14ac:dyDescent="0.25">
      <c r="B30" s="3" t="s">
        <v>609</v>
      </c>
      <c r="C30" s="4"/>
      <c r="D30" s="4"/>
      <c r="E30" s="4"/>
      <c r="F30" s="4"/>
      <c r="G30" s="4"/>
    </row>
    <row r="31" spans="2:7" x14ac:dyDescent="0.25">
      <c r="B31" s="4"/>
      <c r="C31" s="3" t="s">
        <v>4</v>
      </c>
      <c r="D31" s="5" t="s">
        <v>107</v>
      </c>
      <c r="E31" s="5" t="s">
        <v>108</v>
      </c>
      <c r="F31" s="4"/>
      <c r="G31" s="3" t="s">
        <v>6</v>
      </c>
    </row>
    <row r="32" spans="2:5" x14ac:dyDescent="0.25">
      <c r="B32" s="2" t="s">
        <v>610</v>
      </c>
      <c r="C32" s="2" t="s">
        <v>61</v>
      </c>
      <c r="D32" s="16">
        <f>((Inputs!$D$66+Inputs!$D$67+Inputs!$D$68+Inputs!$D$69+Inputs!$D$70+Inputs!$D$71+Inputs!$D$72+Inputs!$D$73+Inputs!$D$74)-(Inputs!$D$90+Inputs!$D$91+Inputs!$D$92+Inputs!$D$93+Inputs!$D$94+Inputs!$D$95+Inputs!$D$96+Inputs!$D$97+Inputs!$D$98+Inputs!$D$99))/Inputs!$D$75</f>
      </c>
      <c r="E32" s="16">
        <f>((Inputs!$E$66+Inputs!$E$67+Inputs!$E$68+Inputs!$E$69+Inputs!$E$70+Inputs!$E$71+Inputs!$E$72+Inputs!$E$73+Inputs!$E$74)-(Inputs!$E$90+Inputs!$E$91+Inputs!$E$92+Inputs!$E$93+Inputs!$E$94+Inputs!$E$95+Inputs!$E$96+Inputs!$E$97+Inputs!$E$98+Inputs!$E$99))/Inputs!$E$75</f>
      </c>
    </row>
    <row r="33" spans="2:5" x14ac:dyDescent="0.25">
      <c r="B33" s="2" t="s">
        <v>611</v>
      </c>
      <c r="C33" s="2" t="s">
        <v>61</v>
      </c>
      <c r="D33" s="16">
        <f>Inputs!$D$79/Inputs!$D$75</f>
      </c>
      <c r="E33" s="16">
        <f>Inputs!$E$79/Inputs!$E$75</f>
      </c>
    </row>
    <row r="34" spans="2:5" x14ac:dyDescent="0.25">
      <c r="B34" s="2" t="s">
        <v>612</v>
      </c>
      <c r="C34" s="2" t="s">
        <v>61</v>
      </c>
      <c r="D34" s="16">
        <f>Inputs!$D$36/Inputs!$D$75</f>
      </c>
      <c r="E34" s="16">
        <f>Inputs!$E$36/Inputs!$E$75</f>
      </c>
    </row>
    <row r="35" spans="2:5" x14ac:dyDescent="0.25">
      <c r="B35" s="2" t="s">
        <v>613</v>
      </c>
      <c r="C35" s="2" t="s">
        <v>61</v>
      </c>
      <c r="D35" s="16">
        <f>Inputs!$D$83/Inputs!$D$100</f>
      </c>
      <c r="E35" s="16">
        <f>Inputs!$E$83/Inputs!$E$100</f>
      </c>
    </row>
    <row r="36" spans="2:5" x14ac:dyDescent="0.25">
      <c r="B36" s="9" t="s">
        <v>614</v>
      </c>
      <c r="C36" s="2" t="s">
        <v>61</v>
      </c>
      <c r="D36" s="31">
        <f>Inputs!$D$259+Inputs!$D$260*$D$32+Inputs!$D$261*$D$33+Inputs!$D$262*$D$34+Inputs!$D$263*$D$35</f>
      </c>
      <c r="E36" s="31">
        <f>Inputs!$D$259+Inputs!$D$260*$E$32+Inputs!$D$261*$E$33+Inputs!$D$262*$E$34+Inputs!$D$263*$E$35</f>
      </c>
    </row>
    <row r="37" spans="2:5" x14ac:dyDescent="0.25">
      <c r="B37" s="2" t="s">
        <v>615</v>
      </c>
      <c r="C37" s="2" t="s">
        <v>4</v>
      </c>
      <c r="D37" s="2">
        <f>IF($D$36&gt;Inputs!$D$264,"Safe",IF($D$36&gt;=Inputs!$D$265,"Grey","Distress"))</f>
      </c>
      <c r="E37" s="2">
        <f>IF($E$36&gt;Inputs!$D$264,"Safe",IF($E$36&gt;=Inputs!$D$265,"Grey","Distress"))</f>
      </c>
    </row>
    <row r="39" spans="2:7" x14ac:dyDescent="0.25">
      <c r="B39" s="3" t="s">
        <v>616</v>
      </c>
      <c r="C39" s="4"/>
      <c r="D39" s="4"/>
      <c r="E39" s="4"/>
      <c r="F39" s="4"/>
      <c r="G39" s="4"/>
    </row>
    <row r="40" spans="2:7" x14ac:dyDescent="0.25">
      <c r="B40" s="4"/>
      <c r="C40" s="3" t="s">
        <v>4</v>
      </c>
      <c r="D40" s="5" t="s">
        <v>5</v>
      </c>
      <c r="E40" s="4"/>
      <c r="F40" s="4"/>
      <c r="G40" s="3" t="s">
        <v>6</v>
      </c>
    </row>
    <row r="41" spans="2:4" x14ac:dyDescent="0.25">
      <c r="B41" s="2" t="s">
        <v>589</v>
      </c>
      <c r="C41" s="2" t="s">
        <v>54</v>
      </c>
      <c r="D41" s="11">
        <f>Inputs!$E$49/Inputs!$E$23</f>
      </c>
    </row>
    <row r="42" spans="2:4" x14ac:dyDescent="0.25">
      <c r="B42" s="2" t="s">
        <v>617</v>
      </c>
      <c r="C42" s="2" t="s">
        <v>61</v>
      </c>
      <c r="D42" s="16">
        <f>Inputs!$E$23/AVERAGE(Inputs!$D$75,Inputs!$E$75)</f>
      </c>
    </row>
    <row r="43" spans="2:4" x14ac:dyDescent="0.25">
      <c r="B43" s="2" t="s">
        <v>618</v>
      </c>
      <c r="C43" s="2" t="s">
        <v>61</v>
      </c>
      <c r="D43" s="16">
        <f>AVERAGE(Inputs!$D$75,Inputs!$E$75)/AVERAGE(Inputs!$D$83,Inputs!$E$83)</f>
      </c>
    </row>
    <row r="44" spans="2:4" x14ac:dyDescent="0.25">
      <c r="B44" s="9" t="s">
        <v>619</v>
      </c>
      <c r="C44" s="2" t="s">
        <v>54</v>
      </c>
      <c r="D44" s="32">
        <f>$D$41*$D$42*$D$43</f>
      </c>
    </row>
    <row r="45" spans="2:4" x14ac:dyDescent="0.25">
      <c r="B45" s="2" t="s">
        <v>620</v>
      </c>
      <c r="C45" s="2" t="s">
        <v>61</v>
      </c>
      <c r="D45" s="16">
        <f>Inputs!$E$49/Inputs!$E$45</f>
      </c>
    </row>
    <row r="46" spans="2:7" x14ac:dyDescent="0.25">
      <c r="B46" s="2" t="s">
        <v>621</v>
      </c>
      <c r="C46" s="2" t="s">
        <v>61</v>
      </c>
      <c r="D46" s="16">
        <f>Inputs!$E$45/Inputs!$E$36</f>
      </c>
      <c r="G46" s="2" t="s">
        <v>622</v>
      </c>
    </row>
    <row r="47" spans="2:4" x14ac:dyDescent="0.25">
      <c r="B47" s="2" t="s">
        <v>623</v>
      </c>
      <c r="C47" s="2" t="s">
        <v>54</v>
      </c>
      <c r="D47" s="11">
        <f>Inputs!$E$36/Inputs!$E$23</f>
      </c>
    </row>
    <row r="48" spans="2:4" x14ac:dyDescent="0.25">
      <c r="B48" s="9" t="s">
        <v>624</v>
      </c>
      <c r="C48" s="2" t="s">
        <v>54</v>
      </c>
      <c r="D48" s="32">
        <f>$D$45*$D$46*$D$47*$D$42*$D$43</f>
      </c>
    </row>
  </sheetData>
  <pageMargins left="0.4" right="0.4" top="0.5" bottom="0.6" header="0.3" footer="0.3"/>
  <pageSetup paperSize="9" orientation="landscape" fitToWidth="1" fitToHeight="0"/>
  <headerFooter>
    <oddFooter>&amp;CMOPCO | Historical |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19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2" customWidth="1"/>
    <col min="3" max="3" width="11" customWidth="1"/>
    <col min="4" max="6" width="17" customWidth="1"/>
    <col min="7" max="7" width="70" customWidth="1"/>
  </cols>
  <sheetData>
    <row r="2" spans="2:2" x14ac:dyDescent="0.25">
      <c r="B2" s="1" t="s">
        <v>625</v>
      </c>
    </row>
    <row r="3" spans="2:2" x14ac:dyDescent="0.25">
      <c r="B3" s="2" t="s">
        <v>626</v>
      </c>
    </row>
    <row r="4" spans="2:2" x14ac:dyDescent="0.25">
      <c r="B4" s="2" t="s">
        <v>2</v>
      </c>
    </row>
    <row r="6" spans="2:7" x14ac:dyDescent="0.25">
      <c r="B6" s="3" t="s">
        <v>627</v>
      </c>
      <c r="C6" s="4"/>
      <c r="D6" s="4"/>
      <c r="E6" s="4"/>
      <c r="F6" s="4"/>
      <c r="G6" s="4"/>
    </row>
    <row r="7" spans="2:7" x14ac:dyDescent="0.25">
      <c r="B7" s="4"/>
      <c r="C7" s="3" t="s">
        <v>4</v>
      </c>
      <c r="D7" s="5" t="s">
        <v>628</v>
      </c>
      <c r="E7" s="5" t="s">
        <v>629</v>
      </c>
      <c r="F7" s="5" t="s">
        <v>630</v>
      </c>
      <c r="G7" s="3" t="s">
        <v>6</v>
      </c>
    </row>
    <row r="8" spans="2:7" x14ac:dyDescent="0.25">
      <c r="B8" s="2" t="s">
        <v>631</v>
      </c>
      <c r="C8" s="2" t="s">
        <v>14</v>
      </c>
      <c r="D8" s="20">
        <f>Inputs!$E$36</f>
      </c>
      <c r="G8" s="2" t="s">
        <v>85</v>
      </c>
    </row>
    <row r="9" spans="2:7" x14ac:dyDescent="0.25">
      <c r="B9" s="2" t="s">
        <v>632</v>
      </c>
      <c r="C9" s="2" t="s">
        <v>14</v>
      </c>
      <c r="D9" s="20">
        <f>Inputs!$E$34</f>
      </c>
      <c r="E9" s="29">
        <f>Inputs!$D$118</f>
      </c>
      <c r="F9" s="20">
        <f>$D$9*$E$9</f>
      </c>
      <c r="G9" s="2" t="s">
        <v>200</v>
      </c>
    </row>
    <row r="10" spans="2:7" x14ac:dyDescent="0.25">
      <c r="B10" s="2" t="s">
        <v>633</v>
      </c>
      <c r="C10" s="2" t="s">
        <v>14</v>
      </c>
      <c r="D10" s="20">
        <f>Inputs!$E$28</f>
      </c>
      <c r="E10" s="29">
        <f>Inputs!$D$119</f>
      </c>
      <c r="F10" s="20">
        <f>$D$10*$E$10</f>
      </c>
      <c r="G10" s="2" t="s">
        <v>202</v>
      </c>
    </row>
    <row r="11" spans="2:7" x14ac:dyDescent="0.25">
      <c r="B11" s="2" t="s">
        <v>634</v>
      </c>
      <c r="C11" s="2" t="s">
        <v>14</v>
      </c>
      <c r="D11" s="20">
        <f>Inputs!$E$31</f>
      </c>
      <c r="E11" s="29">
        <f>Inputs!$D$120</f>
      </c>
      <c r="F11" s="20">
        <f>$D$11*$E$11</f>
      </c>
      <c r="G11" s="2" t="s">
        <v>204</v>
      </c>
    </row>
    <row r="12" spans="2:6" x14ac:dyDescent="0.25">
      <c r="B12" s="2" t="s">
        <v>635</v>
      </c>
      <c r="C12" s="2" t="s">
        <v>14</v>
      </c>
      <c r="F12" s="33">
        <f>$F$9+$F$10+$F$11</f>
      </c>
    </row>
    <row r="13" spans="2:4" x14ac:dyDescent="0.25">
      <c r="B13" s="9" t="s">
        <v>636</v>
      </c>
      <c r="C13" s="2" t="s">
        <v>14</v>
      </c>
      <c r="D13" s="34">
        <f>$D$8-$F$12</f>
      </c>
    </row>
    <row r="14" spans="2:7" x14ac:dyDescent="0.25">
      <c r="B14" s="2" t="s">
        <v>637</v>
      </c>
      <c r="C14" s="2" t="s">
        <v>14</v>
      </c>
      <c r="D14" s="20">
        <f>Inputs!$E$51</f>
      </c>
      <c r="G14" s="2" t="s">
        <v>638</v>
      </c>
    </row>
    <row r="15" spans="2:7" x14ac:dyDescent="0.25">
      <c r="B15" s="2" t="s">
        <v>639</v>
      </c>
      <c r="C15" s="2" t="s">
        <v>14</v>
      </c>
      <c r="D15" s="20">
        <f>Inputs!$E$52</f>
      </c>
      <c r="G15" s="2" t="s">
        <v>638</v>
      </c>
    </row>
    <row r="16" spans="2:4" x14ac:dyDescent="0.25">
      <c r="B16" s="9" t="s">
        <v>640</v>
      </c>
      <c r="C16" s="2" t="s">
        <v>14</v>
      </c>
      <c r="D16" s="34">
        <f>$D$13+$D$14+$D$15</f>
      </c>
    </row>
    <row r="17" spans="2:4" x14ac:dyDescent="0.25">
      <c r="B17" s="2" t="s">
        <v>641</v>
      </c>
      <c r="C17" s="2" t="s">
        <v>14</v>
      </c>
      <c r="D17" s="20">
        <f>$D$8+$D$14+$D$15</f>
      </c>
    </row>
    <row r="19" spans="2:2" x14ac:dyDescent="0.25">
      <c r="B19" s="2" t="s">
        <v>642</v>
      </c>
    </row>
  </sheetData>
  <pageMargins left="0.4" right="0.4" top="0.5" bottom="0.6" header="0.3" footer="0.3"/>
  <pageSetup paperSize="9" orientation="landscape" fitToWidth="1" fitToHeight="0"/>
  <headerFooter>
    <oddFooter>&amp;CMOPCO | Normalization |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42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2" customWidth="1"/>
    <col min="3" max="3" width="11" customWidth="1"/>
    <col min="4" max="10" width="17" customWidth="1"/>
    <col min="11" max="11" width="70" customWidth="1"/>
  </cols>
  <sheetData>
    <row r="2" spans="2:2" x14ac:dyDescent="0.25">
      <c r="B2" s="1" t="s">
        <v>643</v>
      </c>
    </row>
    <row r="3" spans="2:2" x14ac:dyDescent="0.25">
      <c r="B3" s="2" t="s">
        <v>644</v>
      </c>
    </row>
    <row r="4" spans="2:2" x14ac:dyDescent="0.25">
      <c r="B4" s="2" t="s">
        <v>2</v>
      </c>
    </row>
    <row r="6" spans="2:11" x14ac:dyDescent="0.25">
      <c r="B6" s="3" t="s">
        <v>645</v>
      </c>
      <c r="C6" s="4"/>
      <c r="D6" s="4"/>
      <c r="E6" s="4"/>
      <c r="F6" s="4"/>
      <c r="G6" s="4"/>
      <c r="H6" s="4"/>
      <c r="I6" s="4"/>
      <c r="J6" s="4"/>
      <c r="K6" s="4"/>
    </row>
    <row r="7" spans="2:11" x14ac:dyDescent="0.25">
      <c r="B7" s="4"/>
      <c r="C7" s="3" t="s">
        <v>432</v>
      </c>
      <c r="D7" s="5" t="s">
        <v>108</v>
      </c>
      <c r="E7" s="5" t="s">
        <v>281</v>
      </c>
      <c r="F7" s="5" t="s">
        <v>282</v>
      </c>
      <c r="G7" s="5" t="s">
        <v>283</v>
      </c>
      <c r="H7" s="5" t="s">
        <v>284</v>
      </c>
      <c r="I7" s="5" t="s">
        <v>285</v>
      </c>
      <c r="J7" s="5" t="s">
        <v>286</v>
      </c>
      <c r="K7" s="3" t="s">
        <v>6</v>
      </c>
    </row>
    <row r="8" spans="2:11" x14ac:dyDescent="0.25">
      <c r="B8" s="2" t="s">
        <v>292</v>
      </c>
      <c r="C8" s="2" t="s">
        <v>54</v>
      </c>
      <c r="D8" s="11">
        <f>Inputs!$E$23/Inputs!$D$23-1</f>
      </c>
      <c r="E8" s="11">
        <f>Inputs!$D$182</f>
      </c>
      <c r="F8" s="11">
        <f>Inputs!$E$182</f>
      </c>
      <c r="G8" s="11">
        <f>Inputs!$F$182</f>
      </c>
      <c r="H8" s="11">
        <f>Inputs!$G$182</f>
      </c>
      <c r="I8" s="11">
        <f>Inputs!$H$182</f>
      </c>
      <c r="J8" s="11">
        <f>Inputs!$D$172</f>
      </c>
      <c r="K8" s="2" t="s">
        <v>646</v>
      </c>
    </row>
    <row r="9" spans="2:11" x14ac:dyDescent="0.25">
      <c r="B9" s="9" t="s">
        <v>647</v>
      </c>
      <c r="C9" s="2" t="s">
        <v>14</v>
      </c>
      <c r="D9" s="35">
        <f>Inputs!$E$23</f>
      </c>
      <c r="E9" s="35">
        <f>$D$9*(1+$E$8)</f>
      </c>
      <c r="F9" s="35">
        <f>$E$9*(1+$F$8)</f>
      </c>
      <c r="G9" s="35">
        <f>$F$9*(1+$G$8)</f>
      </c>
      <c r="H9" s="35">
        <f>$G$9*(1+$H$8)</f>
      </c>
      <c r="I9" s="35">
        <f>$H$9*(1+$I$8)</f>
      </c>
      <c r="J9" s="35">
        <f>$I$9*(1+$J$8)</f>
      </c>
      <c r="K9" s="2" t="s">
        <v>648</v>
      </c>
    </row>
    <row r="10" spans="2:11" x14ac:dyDescent="0.25">
      <c r="B10" s="2" t="s">
        <v>294</v>
      </c>
      <c r="C10" s="2" t="s">
        <v>54</v>
      </c>
      <c r="D10" s="11">
        <f>(Inputs!$E$26+Inputs!$E$51+Inputs!$E$52)/$D$9</f>
      </c>
      <c r="E10" s="11">
        <f>Inputs!$D$183</f>
      </c>
      <c r="F10" s="11">
        <f>Inputs!$E$183</f>
      </c>
      <c r="G10" s="11">
        <f>Inputs!$F$183</f>
      </c>
      <c r="H10" s="11">
        <f>Inputs!$G$183</f>
      </c>
      <c r="I10" s="11">
        <f>Inputs!$H$183</f>
      </c>
      <c r="J10" s="11">
        <f>Inputs!$I$183</f>
      </c>
      <c r="K10" s="2" t="s">
        <v>649</v>
      </c>
    </row>
    <row r="11" spans="2:10" x14ac:dyDescent="0.25">
      <c r="B11" s="2" t="s">
        <v>650</v>
      </c>
      <c r="C11" s="2" t="s">
        <v>14</v>
      </c>
      <c r="D11" s="20">
        <f>$D$9*$D$10</f>
      </c>
      <c r="E11" s="20">
        <f>$E$9*$E$10</f>
      </c>
      <c r="F11" s="20">
        <f>$F$9*$F$10</f>
      </c>
      <c r="G11" s="20">
        <f>$G$9*$G$10</f>
      </c>
      <c r="H11" s="20">
        <f>$H$9*$H$10</f>
      </c>
      <c r="I11" s="20">
        <f>$I$9*$I$10</f>
      </c>
      <c r="J11" s="20">
        <f>$J$9*$J$10</f>
      </c>
    </row>
    <row r="12" spans="2:10" x14ac:dyDescent="0.25">
      <c r="B12" s="2" t="s">
        <v>296</v>
      </c>
      <c r="C12" s="2" t="s">
        <v>297</v>
      </c>
      <c r="D12" s="11">
        <f>-(Inputs!$E$29+Inputs!$E$30)/$D$9</f>
      </c>
      <c r="E12" s="11">
        <f>Inputs!$D$184</f>
      </c>
      <c r="F12" s="11">
        <f>Inputs!$E$184</f>
      </c>
      <c r="G12" s="11">
        <f>Inputs!$F$184</f>
      </c>
      <c r="H12" s="11">
        <f>Inputs!$G$184</f>
      </c>
      <c r="I12" s="11">
        <f>Inputs!$H$184</f>
      </c>
      <c r="J12" s="11">
        <f>Inputs!$I$184</f>
      </c>
    </row>
    <row r="13" spans="2:10" x14ac:dyDescent="0.25">
      <c r="B13" s="2" t="s">
        <v>296</v>
      </c>
      <c r="C13" s="2" t="s">
        <v>14</v>
      </c>
      <c r="D13" s="20">
        <f>-(Inputs!$E$29+Inputs!$E$30)</f>
      </c>
      <c r="E13" s="20">
        <f>$E$9*$E$12</f>
      </c>
      <c r="F13" s="20">
        <f>$F$9*$F$12</f>
      </c>
      <c r="G13" s="20">
        <f>$G$9*$G$12</f>
      </c>
      <c r="H13" s="20">
        <f>$H$9*$H$12</f>
      </c>
      <c r="I13" s="20">
        <f>$I$9*$I$12</f>
      </c>
      <c r="J13" s="20">
        <f>$J$9*$J$12</f>
      </c>
    </row>
    <row r="14" spans="2:11" x14ac:dyDescent="0.25">
      <c r="B14" s="2" t="s">
        <v>298</v>
      </c>
      <c r="C14" s="2" t="s">
        <v>297</v>
      </c>
      <c r="D14" s="11">
        <f>(Normalization!$D$13-Inputs!$E$26-Inputs!$E$29-Inputs!$E$30)/$D$9</f>
      </c>
      <c r="E14" s="11">
        <f>Inputs!$D$185</f>
      </c>
      <c r="F14" s="11">
        <f>Inputs!$E$185</f>
      </c>
      <c r="G14" s="11">
        <f>Inputs!$F$185</f>
      </c>
      <c r="H14" s="11">
        <f>Inputs!$G$185</f>
      </c>
      <c r="I14" s="11">
        <f>Inputs!$H$185</f>
      </c>
      <c r="J14" s="11">
        <f>Inputs!$I$185</f>
      </c>
      <c r="K14" s="2" t="s">
        <v>651</v>
      </c>
    </row>
    <row r="15" spans="2:10" x14ac:dyDescent="0.25">
      <c r="B15" s="2" t="s">
        <v>652</v>
      </c>
      <c r="C15" s="2" t="s">
        <v>14</v>
      </c>
      <c r="D15" s="20">
        <f>Normalization!$D$13-Inputs!$E$26-Inputs!$E$29-Inputs!$E$30</f>
      </c>
      <c r="E15" s="20">
        <f>$E$9*$E$14</f>
      </c>
      <c r="F15" s="20">
        <f>$F$9*$F$14</f>
      </c>
      <c r="G15" s="20">
        <f>$G$9*$G$14</f>
      </c>
      <c r="H15" s="20">
        <f>$H$9*$H$14</f>
      </c>
      <c r="I15" s="20">
        <f>$I$9*$I$14</f>
      </c>
      <c r="J15" s="20">
        <f>$J$9*$J$14</f>
      </c>
    </row>
    <row r="16" spans="2:11" x14ac:dyDescent="0.25">
      <c r="B16" s="9" t="s">
        <v>653</v>
      </c>
      <c r="C16" s="2" t="s">
        <v>14</v>
      </c>
      <c r="D16" s="34">
        <f>$D$11-$D$13+$D$15</f>
      </c>
      <c r="E16" s="34">
        <f>$E$11-$E$13+$E$15</f>
      </c>
      <c r="F16" s="34">
        <f>$F$11-$F$13+$F$15</f>
      </c>
      <c r="G16" s="34">
        <f>$G$11-$G$13+$G$15</f>
      </c>
      <c r="H16" s="34">
        <f>$H$11-$H$13+$H$15</f>
      </c>
      <c r="I16" s="34">
        <f>$I$11-$I$13+$I$15</f>
      </c>
      <c r="J16" s="34">
        <f>$J$11-$J$13+$J$15</f>
      </c>
      <c r="K16" s="2" t="s">
        <v>654</v>
      </c>
    </row>
    <row r="17" spans="2:10" x14ac:dyDescent="0.25">
      <c r="B17" s="2" t="s">
        <v>655</v>
      </c>
      <c r="C17" s="2" t="s">
        <v>14</v>
      </c>
      <c r="E17" s="20">
        <f>Inputs!$E$57</f>
      </c>
      <c r="F17" s="20">
        <f>$E$22</f>
      </c>
      <c r="G17" s="20">
        <f>$F$22</f>
      </c>
      <c r="H17" s="20">
        <f>$G$22</f>
      </c>
      <c r="I17" s="20">
        <f>$H$22</f>
      </c>
      <c r="J17" s="20">
        <f>$I$22</f>
      </c>
    </row>
    <row r="18" spans="2:11" x14ac:dyDescent="0.25">
      <c r="B18" s="2" t="s">
        <v>656</v>
      </c>
      <c r="C18" s="2" t="s">
        <v>14</v>
      </c>
      <c r="D18" s="20">
        <f>Inputs!$E$51</f>
      </c>
      <c r="E18" s="20">
        <f>IF(Inputs!$D$180="ppe_rollforward",Inputs!$D$187*$E$17,$E$9*Inputs!$D$186)</f>
      </c>
      <c r="F18" s="20">
        <f>IF(Inputs!$D$180="ppe_rollforward",Inputs!$E$187*$F$17,$F$9*Inputs!$E$186)</f>
      </c>
      <c r="G18" s="20">
        <f>IF(Inputs!$D$180="ppe_rollforward",Inputs!$F$187*$G$17,$G$9*Inputs!$F$186)</f>
      </c>
      <c r="H18" s="20">
        <f>IF(Inputs!$D$180="ppe_rollforward",Inputs!$G$187*$H$17,$H$9*Inputs!$G$186)</f>
      </c>
      <c r="I18" s="20">
        <f>IF(Inputs!$D$180="ppe_rollforward",Inputs!$H$187*$I$17,$I$9*Inputs!$H$186)</f>
      </c>
      <c r="J18" s="20">
        <f>IF(Inputs!$D$180="ppe_rollforward",Inputs!$I$187*$J$17,$J$9*Inputs!$I$186)</f>
      </c>
      <c r="K18" s="2" t="s">
        <v>657</v>
      </c>
    </row>
    <row r="19" spans="2:10" x14ac:dyDescent="0.25">
      <c r="B19" s="2" t="s">
        <v>301</v>
      </c>
      <c r="C19" s="2" t="s">
        <v>14</v>
      </c>
      <c r="D19" s="20">
        <f>Inputs!$E$52</f>
      </c>
      <c r="E19" s="20">
        <f>IF(Inputs!$D$180="ppe_rollforward",$E$9*Inputs!$D$188,0)</f>
      </c>
      <c r="F19" s="20">
        <f>IF(Inputs!$D$180="ppe_rollforward",$F$9*Inputs!$E$188,0)</f>
      </c>
      <c r="G19" s="20">
        <f>IF(Inputs!$D$180="ppe_rollforward",$G$9*Inputs!$F$188,0)</f>
      </c>
      <c r="H19" s="20">
        <f>IF(Inputs!$D$180="ppe_rollforward",$H$9*Inputs!$G$188,0)</f>
      </c>
      <c r="I19" s="20">
        <f>IF(Inputs!$D$180="ppe_rollforward",$I$9*Inputs!$H$188,0)</f>
      </c>
      <c r="J19" s="20">
        <f>IF(Inputs!$D$180="ppe_rollforward",$J$9*Inputs!$I$188,0)</f>
      </c>
    </row>
    <row r="20" spans="2:10" x14ac:dyDescent="0.25">
      <c r="B20" s="2" t="s">
        <v>658</v>
      </c>
      <c r="C20" s="2" t="s">
        <v>14</v>
      </c>
      <c r="D20" s="20">
        <f>$D$18+$D$19</f>
      </c>
      <c r="E20" s="20">
        <f>$E$18+$E$19</f>
      </c>
      <c r="F20" s="20">
        <f>$F$18+$F$19</f>
      </c>
      <c r="G20" s="20">
        <f>$G$18+$G$19</f>
      </c>
      <c r="H20" s="20">
        <f>$H$18+$H$19</f>
      </c>
      <c r="I20" s="20">
        <f>$I$18+$I$19</f>
      </c>
      <c r="J20" s="20">
        <f>$J$18+$J$19</f>
      </c>
    </row>
    <row r="21" spans="2:11" x14ac:dyDescent="0.25">
      <c r="B21" s="2" t="s">
        <v>194</v>
      </c>
      <c r="C21" s="2" t="s">
        <v>14</v>
      </c>
      <c r="D21" s="20">
        <f>-Inputs!$E$111</f>
      </c>
      <c r="E21" s="20">
        <f>IF(Inputs!$D$181="absolute",Inputs!$D$190,$E$9*Inputs!$D$189)</f>
      </c>
      <c r="F21" s="20">
        <f>IF(Inputs!$D$181="absolute",Inputs!$E$190,$F$9*Inputs!$E$189)</f>
      </c>
      <c r="G21" s="20">
        <f>IF(Inputs!$D$181="absolute",Inputs!$F$190,$G$9*Inputs!$F$189)</f>
      </c>
      <c r="H21" s="20">
        <f>IF(Inputs!$D$181="absolute",Inputs!$G$190,$H$9*Inputs!$G$189)</f>
      </c>
      <c r="I21" s="20">
        <f>IF(Inputs!$D$181="absolute",Inputs!$H$190,$I$9*Inputs!$H$189)</f>
      </c>
      <c r="J21" s="20">
        <f>$J$9*Inputs!$I$189</f>
      </c>
      <c r="K21" s="2" t="s">
        <v>659</v>
      </c>
    </row>
    <row r="22" spans="2:11" x14ac:dyDescent="0.25">
      <c r="B22" s="2" t="s">
        <v>660</v>
      </c>
      <c r="C22" s="2" t="s">
        <v>14</v>
      </c>
      <c r="D22" s="20">
        <f>Inputs!$E$57</f>
      </c>
      <c r="E22" s="20">
        <f>$E$17+$E$21-$E$18</f>
      </c>
      <c r="F22" s="20">
        <f>$F$17+$F$21-$F$18</f>
      </c>
      <c r="G22" s="20">
        <f>$G$17+$G$21-$G$18</f>
      </c>
      <c r="H22" s="20">
        <f>$H$17+$H$21-$H$18</f>
      </c>
      <c r="I22" s="20">
        <f>$I$17+$I$21-$I$18</f>
      </c>
      <c r="J22" s="20">
        <f>$J$17+$J$21-$J$18</f>
      </c>
      <c r="K22" s="2" t="s">
        <v>661</v>
      </c>
    </row>
    <row r="23" spans="2:11" x14ac:dyDescent="0.25">
      <c r="B23" s="9" t="s">
        <v>662</v>
      </c>
      <c r="C23" s="2" t="s">
        <v>14</v>
      </c>
      <c r="D23" s="35">
        <f>$D$16-$D$20</f>
      </c>
      <c r="E23" s="35">
        <f>$E$16-$E$20</f>
      </c>
      <c r="F23" s="35">
        <f>$F$16-$F$20</f>
      </c>
      <c r="G23" s="35">
        <f>$G$16-$G$20</f>
      </c>
      <c r="H23" s="35">
        <f>$H$16-$H$20</f>
      </c>
      <c r="I23" s="35">
        <f>$I$16-$I$20</f>
      </c>
      <c r="J23" s="35">
        <f>$J$16-$J$20</f>
      </c>
      <c r="K23" s="2" t="s">
        <v>663</v>
      </c>
    </row>
    <row r="24" spans="2:10" x14ac:dyDescent="0.25">
      <c r="B24" s="2" t="s">
        <v>309</v>
      </c>
      <c r="C24" s="2" t="s">
        <v>54</v>
      </c>
      <c r="D24" s="11">
        <f>Inputs!$D$133</f>
      </c>
      <c r="E24" s="11">
        <f>Inputs!$D$196</f>
      </c>
      <c r="F24" s="11">
        <f>Inputs!$E$196</f>
      </c>
      <c r="G24" s="11">
        <f>Inputs!$F$196</f>
      </c>
      <c r="H24" s="11">
        <f>Inputs!$G$196</f>
      </c>
      <c r="I24" s="11">
        <f>Inputs!$H$196</f>
      </c>
      <c r="J24" s="11">
        <f>Inputs!$I$196</f>
      </c>
    </row>
    <row r="25" spans="2:10" x14ac:dyDescent="0.25">
      <c r="B25" s="2" t="s">
        <v>664</v>
      </c>
      <c r="C25" s="2" t="s">
        <v>14</v>
      </c>
      <c r="D25" s="20">
        <f>$D$23*$D$24</f>
      </c>
      <c r="E25" s="20">
        <f>$E$23*$E$24</f>
      </c>
      <c r="F25" s="20">
        <f>$F$23*$F$24</f>
      </c>
      <c r="G25" s="20">
        <f>$G$23*$G$24</f>
      </c>
      <c r="H25" s="20">
        <f>$H$23*$H$24</f>
      </c>
      <c r="I25" s="20">
        <f>$I$23*$I$24</f>
      </c>
      <c r="J25" s="20">
        <f>$J$23*$J$24</f>
      </c>
    </row>
    <row r="26" spans="2:10" x14ac:dyDescent="0.25">
      <c r="B26" s="2" t="s">
        <v>665</v>
      </c>
      <c r="C26" s="2" t="s">
        <v>14</v>
      </c>
      <c r="D26" s="33">
        <f>$D$23-$D$25</f>
      </c>
      <c r="E26" s="33">
        <f>$E$23-$E$25</f>
      </c>
      <c r="F26" s="33">
        <f>$F$23-$F$25</f>
      </c>
      <c r="G26" s="33">
        <f>$G$23-$G$25</f>
      </c>
      <c r="H26" s="33">
        <f>$H$23-$H$25</f>
      </c>
      <c r="I26" s="33">
        <f>$I$23-$I$25</f>
      </c>
      <c r="J26" s="33">
        <f>$J$23-$J$25</f>
      </c>
    </row>
    <row r="27" spans="2:11" x14ac:dyDescent="0.25">
      <c r="B27" s="2" t="s">
        <v>666</v>
      </c>
      <c r="C27" s="2" t="s">
        <v>14</v>
      </c>
      <c r="D27" s="20">
        <f>$D$9*(1-$D$10)</f>
      </c>
      <c r="E27" s="20">
        <f>$E$9*(1-$E$10)</f>
      </c>
      <c r="F27" s="20">
        <f>$F$9*(1-$F$10)</f>
      </c>
      <c r="G27" s="20">
        <f>$G$9*(1-$G$10)</f>
      </c>
      <c r="H27" s="20">
        <f>$H$9*(1-$H$10)</f>
      </c>
      <c r="I27" s="20">
        <f>$I$9*(1-$I$10)</f>
      </c>
      <c r="J27" s="20">
        <f>$J$9*(1-$J$10)</f>
      </c>
      <c r="K27" s="2" t="s">
        <v>667</v>
      </c>
    </row>
    <row r="28" spans="2:10" x14ac:dyDescent="0.25">
      <c r="B28" s="2" t="s">
        <v>668</v>
      </c>
      <c r="C28" s="2" t="s">
        <v>101</v>
      </c>
      <c r="D28" s="36">
        <f>Inputs!$E$67/$D$9*Inputs!$D$18</f>
      </c>
      <c r="E28" s="36">
        <f>Inputs!$D$191</f>
      </c>
      <c r="F28" s="36">
        <f>Inputs!$E$191</f>
      </c>
      <c r="G28" s="36">
        <f>Inputs!$F$191</f>
      </c>
      <c r="H28" s="36">
        <f>Inputs!$G$191</f>
      </c>
      <c r="I28" s="36">
        <f>Inputs!$H$191</f>
      </c>
      <c r="J28" s="36">
        <f>Inputs!$I$191</f>
      </c>
    </row>
    <row r="29" spans="2:10" x14ac:dyDescent="0.25">
      <c r="B29" s="2" t="s">
        <v>152</v>
      </c>
      <c r="C29" s="2" t="s">
        <v>14</v>
      </c>
      <c r="D29" s="20">
        <f>Inputs!$E$67</f>
      </c>
      <c r="E29" s="20">
        <f>$E$9*$E$28/Inputs!$D$18</f>
      </c>
      <c r="F29" s="20">
        <f>$F$9*$F$28/Inputs!$D$18</f>
      </c>
      <c r="G29" s="20">
        <f>$G$9*$G$28/Inputs!$D$18</f>
      </c>
      <c r="H29" s="20">
        <f>$H$9*$H$28/Inputs!$D$18</f>
      </c>
      <c r="I29" s="20">
        <f>$I$9*$I$28/Inputs!$D$18</f>
      </c>
      <c r="J29" s="20">
        <f>$J$9*$J$28/Inputs!$D$18</f>
      </c>
    </row>
    <row r="30" spans="2:10" x14ac:dyDescent="0.25">
      <c r="B30" s="2" t="s">
        <v>669</v>
      </c>
      <c r="C30" s="2" t="s">
        <v>101</v>
      </c>
      <c r="D30" s="36">
        <f>Inputs!$E$66/$D$27*Inputs!$D$18</f>
      </c>
      <c r="E30" s="36">
        <f>Inputs!$D$192</f>
      </c>
      <c r="F30" s="36">
        <f>Inputs!$E$192</f>
      </c>
      <c r="G30" s="36">
        <f>Inputs!$F$192</f>
      </c>
      <c r="H30" s="36">
        <f>Inputs!$G$192</f>
      </c>
      <c r="I30" s="36">
        <f>Inputs!$H$192</f>
      </c>
      <c r="J30" s="36">
        <f>Inputs!$I$192</f>
      </c>
    </row>
    <row r="31" spans="2:10" x14ac:dyDescent="0.25">
      <c r="B31" s="2" t="s">
        <v>151</v>
      </c>
      <c r="C31" s="2" t="s">
        <v>14</v>
      </c>
      <c r="D31" s="20">
        <f>Inputs!$E$66</f>
      </c>
      <c r="E31" s="20">
        <f>$E$27*$E$30/Inputs!$D$18</f>
      </c>
      <c r="F31" s="20">
        <f>$F$27*$F$30/Inputs!$D$18</f>
      </c>
      <c r="G31" s="20">
        <f>$G$27*$G$30/Inputs!$D$18</f>
      </c>
      <c r="H31" s="20">
        <f>$H$27*$H$30/Inputs!$D$18</f>
      </c>
      <c r="I31" s="20">
        <f>$I$27*$I$30/Inputs!$D$18</f>
      </c>
      <c r="J31" s="20">
        <f>$J$27*$J$30/Inputs!$D$18</f>
      </c>
    </row>
    <row r="32" spans="2:10" x14ac:dyDescent="0.25">
      <c r="B32" s="2" t="s">
        <v>670</v>
      </c>
      <c r="C32" s="2" t="s">
        <v>101</v>
      </c>
      <c r="D32" s="36">
        <f>Inputs!$E$93/$D$27*Inputs!$D$18</f>
      </c>
      <c r="E32" s="36">
        <f>Inputs!$D$193</f>
      </c>
      <c r="F32" s="36">
        <f>Inputs!$E$193</f>
      </c>
      <c r="G32" s="36">
        <f>Inputs!$F$193</f>
      </c>
      <c r="H32" s="36">
        <f>Inputs!$G$193</f>
      </c>
      <c r="I32" s="36">
        <f>Inputs!$H$193</f>
      </c>
      <c r="J32" s="36">
        <f>Inputs!$I$193</f>
      </c>
    </row>
    <row r="33" spans="2:10" x14ac:dyDescent="0.25">
      <c r="B33" s="2" t="s">
        <v>178</v>
      </c>
      <c r="C33" s="2" t="s">
        <v>14</v>
      </c>
      <c r="D33" s="20">
        <f>Inputs!$E$93</f>
      </c>
      <c r="E33" s="20">
        <f>$E$27*$E$32/Inputs!$D$18</f>
      </c>
      <c r="F33" s="20">
        <f>$F$27*$F$32/Inputs!$D$18</f>
      </c>
      <c r="G33" s="20">
        <f>$G$27*$G$32/Inputs!$D$18</f>
      </c>
      <c r="H33" s="20">
        <f>$H$27*$H$32/Inputs!$D$18</f>
      </c>
      <c r="I33" s="20">
        <f>$I$27*$I$32/Inputs!$D$18</f>
      </c>
      <c r="J33" s="20">
        <f>$J$27*$J$32/Inputs!$D$18</f>
      </c>
    </row>
    <row r="34" spans="2:10" x14ac:dyDescent="0.25">
      <c r="B34" s="2" t="s">
        <v>307</v>
      </c>
      <c r="C34" s="2" t="s">
        <v>297</v>
      </c>
      <c r="D34" s="11">
        <f>(Inputs!$E$70+Inputs!$E$72+Inputs!$E$71)/$D$9</f>
      </c>
      <c r="E34" s="11">
        <f>Inputs!$D$194</f>
      </c>
      <c r="F34" s="11">
        <f>Inputs!$E$194</f>
      </c>
      <c r="G34" s="11">
        <f>Inputs!$F$194</f>
      </c>
      <c r="H34" s="11">
        <f>Inputs!$G$194</f>
      </c>
      <c r="I34" s="11">
        <f>Inputs!$H$194</f>
      </c>
      <c r="J34" s="11">
        <f>Inputs!$I$194</f>
      </c>
    </row>
    <row r="35" spans="2:11" x14ac:dyDescent="0.25">
      <c r="B35" s="2" t="s">
        <v>307</v>
      </c>
      <c r="C35" s="2" t="s">
        <v>14</v>
      </c>
      <c r="D35" s="20">
        <f>Inputs!$E$70+Inputs!$E$72+Inputs!$E$71</f>
      </c>
      <c r="E35" s="20">
        <f>$E$9*$E$34</f>
      </c>
      <c r="F35" s="20">
        <f>$F$9*$F$34</f>
      </c>
      <c r="G35" s="20">
        <f>$G$9*$G$34</f>
      </c>
      <c r="H35" s="20">
        <f>$H$9*$H$34</f>
      </c>
      <c r="I35" s="20">
        <f>$I$9*$I$34</f>
      </c>
      <c r="J35" s="20">
        <f>$J$9*$J$34</f>
      </c>
      <c r="K35" s="2" t="s">
        <v>671</v>
      </c>
    </row>
    <row r="36" spans="2:10" x14ac:dyDescent="0.25">
      <c r="B36" s="2" t="s">
        <v>308</v>
      </c>
      <c r="C36" s="2" t="s">
        <v>297</v>
      </c>
      <c r="D36" s="11">
        <f>(Inputs!$E$94+Inputs!$E$95+Inputs!$E$97+Inputs!$E$98+Inputs!$E$99)/$D$9</f>
      </c>
      <c r="E36" s="11">
        <f>Inputs!$D$195</f>
      </c>
      <c r="F36" s="11">
        <f>Inputs!$E$195</f>
      </c>
      <c r="G36" s="11">
        <f>Inputs!$F$195</f>
      </c>
      <c r="H36" s="11">
        <f>Inputs!$G$195</f>
      </c>
      <c r="I36" s="11">
        <f>Inputs!$H$195</f>
      </c>
      <c r="J36" s="11">
        <f>Inputs!$I$195</f>
      </c>
    </row>
    <row r="37" spans="2:11" x14ac:dyDescent="0.25">
      <c r="B37" s="2" t="s">
        <v>308</v>
      </c>
      <c r="C37" s="2" t="s">
        <v>14</v>
      </c>
      <c r="D37" s="20">
        <f>Inputs!$E$94+Inputs!$E$95+Inputs!$E$97+Inputs!$E$98+Inputs!$E$99</f>
      </c>
      <c r="E37" s="20">
        <f>$E$9*$E$36</f>
      </c>
      <c r="F37" s="20">
        <f>$F$9*$F$36</f>
      </c>
      <c r="G37" s="20">
        <f>$G$9*$G$36</f>
      </c>
      <c r="H37" s="20">
        <f>$H$9*$H$36</f>
      </c>
      <c r="I37" s="20">
        <f>$I$9*$I$36</f>
      </c>
      <c r="J37" s="20">
        <f>$J$9*$J$36</f>
      </c>
      <c r="K37" s="2" t="s">
        <v>672</v>
      </c>
    </row>
    <row r="38" spans="2:10" x14ac:dyDescent="0.25">
      <c r="B38" s="2" t="s">
        <v>673</v>
      </c>
      <c r="C38" s="2" t="s">
        <v>14</v>
      </c>
      <c r="D38" s="33">
        <f>$D$29+$D$31+$D$35-$D$33-$D$37</f>
      </c>
      <c r="E38" s="33">
        <f>$E$29+$E$31+$E$35-$E$33-$E$37</f>
      </c>
      <c r="F38" s="33">
        <f>$F$29+$F$31+$F$35-$F$33-$F$37</f>
      </c>
      <c r="G38" s="33">
        <f>$G$29+$G$31+$G$35-$G$33-$G$37</f>
      </c>
      <c r="H38" s="33">
        <f>$H$29+$H$31+$H$35-$H$33-$H$37</f>
      </c>
      <c r="I38" s="33">
        <f>$I$29+$I$31+$I$35-$I$33-$I$37</f>
      </c>
      <c r="J38" s="33">
        <f>$J$29+$J$31+$J$35-$J$33-$J$37</f>
      </c>
    </row>
    <row r="39" spans="2:10" x14ac:dyDescent="0.25">
      <c r="B39" s="2" t="s">
        <v>674</v>
      </c>
      <c r="C39" s="2" t="s">
        <v>14</v>
      </c>
      <c r="E39" s="20">
        <f>$E$38-$D$38</f>
      </c>
      <c r="F39" s="20">
        <f>$F$38-$E$38</f>
      </c>
      <c r="G39" s="20">
        <f>$G$38-$F$38</f>
      </c>
      <c r="H39" s="20">
        <f>$H$38-$G$38</f>
      </c>
      <c r="I39" s="20">
        <f>$I$38-$H$38</f>
      </c>
      <c r="J39" s="20">
        <f>$J$38-$I$38</f>
      </c>
    </row>
    <row r="40" spans="2:11" x14ac:dyDescent="0.25">
      <c r="B40" s="2" t="s">
        <v>675</v>
      </c>
      <c r="C40" s="2" t="s">
        <v>14</v>
      </c>
      <c r="D40" s="20">
        <f>Inputs!$E$49</f>
      </c>
      <c r="E40" s="20">
        <f>$E$26+Inputs!$D$202*(1-$E$24)</f>
      </c>
      <c r="F40" s="20">
        <f>$F$26+Inputs!$D$202*(1-$F$24)</f>
      </c>
      <c r="G40" s="20">
        <f>$G$26+Inputs!$D$202*(1-$G$24)</f>
      </c>
      <c r="H40" s="20">
        <f>$H$26+Inputs!$D$202*(1-$H$24)</f>
      </c>
      <c r="I40" s="20">
        <f>$I$26+Inputs!$D$202*(1-$I$24)</f>
      </c>
      <c r="J40" s="20">
        <f>$J$26+Inputs!$D$202*(1-$J$24)</f>
      </c>
      <c r="K40" s="2" t="s">
        <v>676</v>
      </c>
    </row>
    <row r="41" spans="2:11" x14ac:dyDescent="0.25">
      <c r="B41" s="2" t="s">
        <v>677</v>
      </c>
      <c r="C41" s="2" t="s">
        <v>14</v>
      </c>
      <c r="E41" s="20">
        <f>IF(Inputs!$D$200=1,Inputs!$D$201*$D$40,0)</f>
      </c>
      <c r="F41" s="20">
        <f>IF(Inputs!$D$200=1,Inputs!$D$201*$E$40,0)</f>
      </c>
      <c r="G41" s="20">
        <f>IF(Inputs!$D$200=1,Inputs!$D$201*$F$40,0)</f>
      </c>
      <c r="H41" s="20">
        <f>IF(Inputs!$D$200=1,Inputs!$D$201*$G$40,0)</f>
      </c>
      <c r="I41" s="20">
        <f>IF(Inputs!$D$200=1,Inputs!$D$201*$H$40,0)</f>
      </c>
      <c r="J41" s="20">
        <f>IF(Inputs!$D$200=1,Inputs!$D$201*$I$40,0)</f>
      </c>
      <c r="K41" s="2" t="s">
        <v>678</v>
      </c>
    </row>
    <row r="42" spans="2:11" x14ac:dyDescent="0.25">
      <c r="B42" s="9" t="s">
        <v>679</v>
      </c>
      <c r="C42" s="2" t="s">
        <v>14</v>
      </c>
      <c r="E42" s="34">
        <f>$E$26+$E$20-$E$21-$E$39-$E$41</f>
      </c>
      <c r="F42" s="34">
        <f>$F$26+$F$20-$F$21-$F$39-$F$41</f>
      </c>
      <c r="G42" s="34">
        <f>$G$26+$G$20-$G$21-$G$39-$G$41</f>
      </c>
      <c r="H42" s="34">
        <f>$H$26+$H$20-$H$21-$H$39-$H$41</f>
      </c>
      <c r="I42" s="34">
        <f>$I$26+$I$20-$I$21-$I$39-$I$41</f>
      </c>
      <c r="J42" s="34">
        <f>$J$26+$J$20-$J$21-$J$39-$J$41</f>
      </c>
      <c r="K42" s="2" t="s">
        <v>680</v>
      </c>
    </row>
  </sheetData>
  <pageMargins left="0.4" right="0.4" top="0.5" bottom="0.6" header="0.3" footer="0.3"/>
  <pageSetup paperSize="9" orientation="landscape" fitToWidth="1" fitToHeight="0"/>
  <headerFooter>
    <oddFooter>&amp;CMOPCO | Operating Model |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55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2" customWidth="1"/>
    <col min="3" max="3" width="11" customWidth="1"/>
    <col min="4" max="4" width="17" customWidth="1"/>
    <col min="5" max="5" width="70" customWidth="1"/>
  </cols>
  <sheetData>
    <row r="2" spans="2:2" x14ac:dyDescent="0.25">
      <c r="B2" s="1" t="s">
        <v>681</v>
      </c>
    </row>
    <row r="3" spans="2:2" x14ac:dyDescent="0.25">
      <c r="B3" s="2" t="s">
        <v>682</v>
      </c>
    </row>
    <row r="4" spans="2:2" x14ac:dyDescent="0.25">
      <c r="B4" s="2" t="s">
        <v>2</v>
      </c>
    </row>
    <row r="6" spans="2:5" x14ac:dyDescent="0.25">
      <c r="B6" s="3" t="s">
        <v>68</v>
      </c>
      <c r="C6" s="4"/>
      <c r="D6" s="4"/>
      <c r="E6" s="4"/>
    </row>
    <row r="7" spans="2:5" x14ac:dyDescent="0.25">
      <c r="B7" s="4"/>
      <c r="C7" s="3" t="s">
        <v>4</v>
      </c>
      <c r="D7" s="5" t="s">
        <v>5</v>
      </c>
      <c r="E7" s="3" t="s">
        <v>6</v>
      </c>
    </row>
    <row r="8" spans="2:5" x14ac:dyDescent="0.25">
      <c r="B8" s="2" t="s">
        <v>683</v>
      </c>
      <c r="C8" s="2" t="s">
        <v>54</v>
      </c>
      <c r="D8" s="15">
        <f>Inputs!$D$124</f>
      </c>
      <c r="E8" s="2" t="s">
        <v>684</v>
      </c>
    </row>
    <row r="9" spans="2:4" x14ac:dyDescent="0.25">
      <c r="B9" s="2" t="s">
        <v>685</v>
      </c>
      <c r="C9" s="2" t="s">
        <v>54</v>
      </c>
      <c r="D9" s="15">
        <f>Inputs!$D$159</f>
      </c>
    </row>
    <row r="10" spans="2:4" x14ac:dyDescent="0.25">
      <c r="B10" s="2" t="s">
        <v>686</v>
      </c>
      <c r="C10" s="2" t="s">
        <v>54</v>
      </c>
      <c r="D10" s="15">
        <f>Inputs!$D$126</f>
      </c>
    </row>
    <row r="11" spans="2:4" x14ac:dyDescent="0.25">
      <c r="B11" s="2" t="s">
        <v>687</v>
      </c>
      <c r="C11" s="2" t="s">
        <v>54</v>
      </c>
      <c r="D11" s="15">
        <f>(1+Inputs!$D$127)*(1+Inputs!$D$128)/(1+Inputs!$D$129)-1</f>
      </c>
    </row>
    <row r="12" spans="2:5" x14ac:dyDescent="0.25">
      <c r="B12" s="9" t="s">
        <v>688</v>
      </c>
      <c r="C12" s="2" t="s">
        <v>54</v>
      </c>
      <c r="D12" s="37">
        <f>IF(Inputs!$D$158="eg_10y_secondary",$D$8,IF(Inputs!$D$158="cbe_auction",$D$9,IF(Inputs!$D$158="damodaran_egp",$D$10,$D$11)))</f>
      </c>
      <c r="E12" s="2" t="s">
        <v>689</v>
      </c>
    </row>
    <row r="13" spans="2:5" x14ac:dyDescent="0.25">
      <c r="B13" s="2" t="s">
        <v>690</v>
      </c>
      <c r="C13" s="2" t="s">
        <v>98</v>
      </c>
      <c r="D13" s="29">
        <f>IF(OR(Inputs!$D$158="damodaran_egp",Inputs!$D$158="fisher_us10y"),1,0)</f>
      </c>
      <c r="E13" s="2" t="s">
        <v>691</v>
      </c>
    </row>
    <row r="15" spans="2:5" x14ac:dyDescent="0.25">
      <c r="B15" s="3" t="s">
        <v>692</v>
      </c>
      <c r="C15" s="4"/>
      <c r="D15" s="4"/>
      <c r="E15" s="4"/>
    </row>
    <row r="16" spans="2:5" x14ac:dyDescent="0.25">
      <c r="B16" s="4"/>
      <c r="C16" s="3" t="s">
        <v>4</v>
      </c>
      <c r="D16" s="5" t="s">
        <v>5</v>
      </c>
      <c r="E16" s="3" t="s">
        <v>6</v>
      </c>
    </row>
    <row r="17" spans="2:5" x14ac:dyDescent="0.25">
      <c r="B17" s="2" t="s">
        <v>227</v>
      </c>
      <c r="C17" s="2" t="s">
        <v>61</v>
      </c>
      <c r="D17" s="16">
        <f>Inputs!$D$136</f>
      </c>
      <c r="E17" s="2" t="s">
        <v>693</v>
      </c>
    </row>
    <row r="18" spans="2:5" x14ac:dyDescent="0.25">
      <c r="B18" s="2" t="s">
        <v>694</v>
      </c>
      <c r="C18" s="2" t="s">
        <v>14</v>
      </c>
      <c r="D18" s="20">
        <f>Inputs!$E$90+Inputs!$E$84+Inputs!$E$85+Inputs!$E$91+Inputs!$E$86</f>
      </c>
      <c r="E18" s="2" t="s">
        <v>695</v>
      </c>
    </row>
    <row r="19" spans="2:5" x14ac:dyDescent="0.25">
      <c r="B19" s="2" t="s">
        <v>696</v>
      </c>
      <c r="C19" s="2" t="s">
        <v>14</v>
      </c>
      <c r="D19" s="20">
        <f>Inputs!$D$11*Inputs!$D$15</f>
      </c>
      <c r="E19" s="2" t="s">
        <v>697</v>
      </c>
    </row>
    <row r="20" spans="2:4" x14ac:dyDescent="0.25">
      <c r="B20" s="2" t="s">
        <v>698</v>
      </c>
      <c r="C20" s="2" t="s">
        <v>61</v>
      </c>
      <c r="D20" s="16">
        <f>$D$18/$D$19</f>
      </c>
    </row>
    <row r="21" spans="2:5" x14ac:dyDescent="0.25">
      <c r="B21" s="9" t="s">
        <v>70</v>
      </c>
      <c r="C21" s="2" t="s">
        <v>61</v>
      </c>
      <c r="D21" s="38">
        <f>$D$17*(1+(1-Inputs!$D$163)*$D$20)</f>
      </c>
      <c r="E21" s="2" t="s">
        <v>699</v>
      </c>
    </row>
    <row r="23" spans="2:5" x14ac:dyDescent="0.25">
      <c r="B23" s="3" t="s">
        <v>67</v>
      </c>
      <c r="C23" s="4"/>
      <c r="D23" s="4"/>
      <c r="E23" s="4"/>
    </row>
    <row r="24" spans="2:5" x14ac:dyDescent="0.25">
      <c r="B24" s="4"/>
      <c r="C24" s="3" t="s">
        <v>4</v>
      </c>
      <c r="D24" s="5" t="s">
        <v>5</v>
      </c>
      <c r="E24" s="3" t="s">
        <v>6</v>
      </c>
    </row>
    <row r="25" spans="2:4" x14ac:dyDescent="0.25">
      <c r="B25" s="2" t="s">
        <v>700</v>
      </c>
      <c r="C25" s="2" t="s">
        <v>54</v>
      </c>
      <c r="D25" s="15">
        <f>Inputs!$D$130</f>
      </c>
    </row>
    <row r="26" spans="2:4" x14ac:dyDescent="0.25">
      <c r="B26" s="2" t="s">
        <v>556</v>
      </c>
      <c r="C26" s="2" t="s">
        <v>54</v>
      </c>
      <c r="D26" s="15">
        <f>Inputs!$D$131</f>
      </c>
    </row>
    <row r="27" spans="2:4" x14ac:dyDescent="0.25">
      <c r="B27" s="2" t="s">
        <v>258</v>
      </c>
      <c r="C27" s="2" t="s">
        <v>54</v>
      </c>
      <c r="D27" s="15">
        <f>Inputs!$D$162</f>
      </c>
    </row>
    <row r="28" spans="2:5" x14ac:dyDescent="0.25">
      <c r="B28" s="2" t="s">
        <v>701</v>
      </c>
      <c r="C28" s="2" t="s">
        <v>54</v>
      </c>
      <c r="D28" s="15">
        <f>IF(Inputs!$D$160="B",$D$25+$D$26,$D$25)</f>
      </c>
      <c r="E28" s="2" t="s">
        <v>702</v>
      </c>
    </row>
    <row r="29" spans="2:5" x14ac:dyDescent="0.25">
      <c r="B29" s="2" t="s">
        <v>703</v>
      </c>
      <c r="C29" s="2" t="s">
        <v>54</v>
      </c>
      <c r="D29" s="15">
        <f>IF(Inputs!$D$160="A",$D$26,IF(Inputs!$D$160="C",Inputs!$D$161*$D$26,0))+$D$27</f>
      </c>
      <c r="E29" s="2" t="s">
        <v>704</v>
      </c>
    </row>
    <row r="30" spans="2:5" x14ac:dyDescent="0.25">
      <c r="B30" s="9" t="s">
        <v>705</v>
      </c>
      <c r="C30" s="2" t="s">
        <v>54</v>
      </c>
      <c r="D30" s="32">
        <f>$D$12+$D$21*$D$28+$D$29</f>
      </c>
      <c r="E30" s="2" t="s">
        <v>706</v>
      </c>
    </row>
    <row r="32" spans="2:5" x14ac:dyDescent="0.25">
      <c r="B32" s="3" t="s">
        <v>707</v>
      </c>
      <c r="C32" s="4"/>
      <c r="D32" s="4"/>
      <c r="E32" s="4"/>
    </row>
    <row r="33" spans="2:5" x14ac:dyDescent="0.25">
      <c r="B33" s="4"/>
      <c r="C33" s="3" t="s">
        <v>4</v>
      </c>
      <c r="D33" s="5" t="s">
        <v>5</v>
      </c>
      <c r="E33" s="3" t="s">
        <v>6</v>
      </c>
    </row>
    <row r="34" spans="2:4" x14ac:dyDescent="0.25">
      <c r="B34" s="2" t="s">
        <v>708</v>
      </c>
      <c r="C34" s="2" t="s">
        <v>14</v>
      </c>
      <c r="D34" s="20">
        <f>-(Inputs!$E$38+Inputs!$E$39)</f>
      </c>
    </row>
    <row r="35" spans="2:4" x14ac:dyDescent="0.25">
      <c r="B35" s="2" t="s">
        <v>709</v>
      </c>
      <c r="C35" s="2" t="s">
        <v>61</v>
      </c>
      <c r="D35" s="28">
        <f>IF($D$34&gt;0,Normalization!$D$13/$D$34,"no interest")</f>
      </c>
    </row>
    <row r="36" spans="2:5" x14ac:dyDescent="0.25">
      <c r="B36" s="2" t="s">
        <v>710</v>
      </c>
      <c r="C36" s="2" t="s">
        <v>711</v>
      </c>
      <c r="D36" s="29">
        <f>IF($D$34&gt;0,MATCH($D$35,Inputs!$D$140:$D$154,1),ROWS(Inputs!$D$140:$D$154))</f>
      </c>
      <c r="E36" s="2" t="s">
        <v>712</v>
      </c>
    </row>
    <row r="37" spans="2:4" x14ac:dyDescent="0.25">
      <c r="B37" s="2" t="s">
        <v>713</v>
      </c>
      <c r="C37" s="2" t="s">
        <v>251</v>
      </c>
      <c r="D37" s="2">
        <f>INDEX(Inputs!$E$140:$E$154,$D$36)</f>
      </c>
    </row>
    <row r="38" spans="2:4" x14ac:dyDescent="0.25">
      <c r="B38" s="2" t="s">
        <v>714</v>
      </c>
      <c r="C38" s="2" t="s">
        <v>54</v>
      </c>
      <c r="D38" s="15">
        <f>INDEX(Inputs!$F$140:$F$154,$D$36)</f>
      </c>
    </row>
    <row r="39" spans="2:4" x14ac:dyDescent="0.25">
      <c r="B39" s="2" t="s">
        <v>715</v>
      </c>
      <c r="C39" s="2" t="s">
        <v>54</v>
      </c>
      <c r="D39" s="15">
        <f>Inputs!$D$132</f>
      </c>
    </row>
    <row r="40" spans="2:4" x14ac:dyDescent="0.25">
      <c r="B40" s="2" t="s">
        <v>716</v>
      </c>
      <c r="C40" s="2" t="s">
        <v>54</v>
      </c>
      <c r="D40" s="15">
        <f>$D$12+$D$38+$D$13*$D$39</f>
      </c>
    </row>
    <row r="41" spans="2:4" x14ac:dyDescent="0.25">
      <c r="B41" s="2" t="s">
        <v>717</v>
      </c>
      <c r="C41" s="2" t="s">
        <v>54</v>
      </c>
      <c r="D41" s="15">
        <f>Inputs!$D$135+Inputs!$D$165</f>
      </c>
    </row>
    <row r="42" spans="2:4" x14ac:dyDescent="0.25">
      <c r="B42" s="2" t="s">
        <v>718</v>
      </c>
      <c r="C42" s="2" t="s">
        <v>54</v>
      </c>
      <c r="D42" s="15">
        <f>IFERROR($D$34/(AVERAGE($D$18,Inputs!$D$90+Inputs!$D$84+Inputs!$D$85+Inputs!$D$91+Inputs!$D$86)),"n/a")</f>
      </c>
    </row>
    <row r="43" spans="2:5" x14ac:dyDescent="0.25">
      <c r="B43" s="9" t="s">
        <v>719</v>
      </c>
      <c r="C43" s="2" t="s">
        <v>54</v>
      </c>
      <c r="D43" s="37">
        <f>IF(Inputs!$D$164="synthetic",$D$40,IF(Inputs!$D$164="cbe_plus_spread",$D$41,$D$42))</f>
      </c>
      <c r="E43" s="2" t="s">
        <v>720</v>
      </c>
    </row>
    <row r="44" spans="2:4" x14ac:dyDescent="0.25">
      <c r="B44" s="2" t="s">
        <v>721</v>
      </c>
      <c r="C44" s="2" t="s">
        <v>54</v>
      </c>
      <c r="D44" s="15">
        <f>Inputs!$D$133</f>
      </c>
    </row>
    <row r="45" spans="2:4" x14ac:dyDescent="0.25">
      <c r="B45" s="2" t="s">
        <v>722</v>
      </c>
      <c r="C45" s="2" t="s">
        <v>54</v>
      </c>
      <c r="D45" s="39">
        <f>$D$43*(1-$D$44)</f>
      </c>
    </row>
    <row r="46" spans="2:4" x14ac:dyDescent="0.25">
      <c r="B46" s="2" t="s">
        <v>723</v>
      </c>
      <c r="C46" s="2" t="s">
        <v>54</v>
      </c>
      <c r="D46" s="15">
        <f>IF(Inputs!$D$164="synthetic",$D$38,0)</f>
      </c>
    </row>
    <row r="47" spans="2:4" x14ac:dyDescent="0.25">
      <c r="B47" s="2" t="s">
        <v>724</v>
      </c>
      <c r="C47" s="2" t="s">
        <v>98</v>
      </c>
      <c r="D47" s="29">
        <f>IF(Inputs!$D$164="synthetic",1,0)</f>
      </c>
    </row>
    <row r="48" spans="2:4" x14ac:dyDescent="0.25">
      <c r="B48" s="2" t="s">
        <v>725</v>
      </c>
      <c r="C48" s="2" t="s">
        <v>54</v>
      </c>
      <c r="D48" s="15">
        <f>IF(Inputs!$D$164="synthetic",$D$38+$D$13*$D$39,$D$43)</f>
      </c>
    </row>
    <row r="50" spans="2:5" x14ac:dyDescent="0.25">
      <c r="B50" s="3" t="s">
        <v>726</v>
      </c>
      <c r="C50" s="4"/>
      <c r="D50" s="4"/>
      <c r="E50" s="4"/>
    </row>
    <row r="51" spans="2:5" x14ac:dyDescent="0.25">
      <c r="B51" s="4"/>
      <c r="C51" s="3" t="s">
        <v>4</v>
      </c>
      <c r="D51" s="5" t="s">
        <v>5</v>
      </c>
      <c r="E51" s="3" t="s">
        <v>6</v>
      </c>
    </row>
    <row r="52" spans="2:4" x14ac:dyDescent="0.25">
      <c r="B52" s="2" t="s">
        <v>727</v>
      </c>
      <c r="C52" s="2" t="s">
        <v>54</v>
      </c>
      <c r="D52" s="15">
        <f>IF(Inputs!$D$166="target",1-Inputs!$D$167,$D$19/($D$19+$D$18))</f>
      </c>
    </row>
    <row r="53" spans="2:4" x14ac:dyDescent="0.25">
      <c r="B53" s="2" t="s">
        <v>728</v>
      </c>
      <c r="C53" s="2" t="s">
        <v>54</v>
      </c>
      <c r="D53" s="15">
        <f>IF(Inputs!$D$166="target",Inputs!$D$167,$D$18/($D$19+$D$18))</f>
      </c>
    </row>
    <row r="54" spans="2:4" x14ac:dyDescent="0.25">
      <c r="B54" s="9" t="s">
        <v>33</v>
      </c>
      <c r="C54" s="2" t="s">
        <v>54</v>
      </c>
      <c r="D54" s="32">
        <f>$D$52*$D$30+$D$53*$D$45</f>
      </c>
    </row>
    <row r="55" spans="2:2" x14ac:dyDescent="0.25">
      <c r="B55" s="2" t="s">
        <v>729</v>
      </c>
    </row>
  </sheetData>
  <pageMargins left="0.4" right="0.4" top="0.5" bottom="0.6" header="0.3" footer="0.3"/>
  <pageSetup paperSize="9" orientation="landscape" fitToWidth="1" fitToHeight="0"/>
  <headerFooter>
    <oddFooter>&amp;CMOPCO | WACC |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62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2" customWidth="1"/>
    <col min="3" max="3" width="11" customWidth="1"/>
    <col min="4" max="8" width="17" customWidth="1"/>
    <col min="9" max="9" width="70" customWidth="1"/>
  </cols>
  <sheetData>
    <row r="2" spans="2:2" x14ac:dyDescent="0.25">
      <c r="B2" s="1" t="s">
        <v>730</v>
      </c>
    </row>
    <row r="3" spans="2:2" x14ac:dyDescent="0.25">
      <c r="B3" s="2" t="s">
        <v>731</v>
      </c>
    </row>
    <row r="4" spans="2:2" x14ac:dyDescent="0.25">
      <c r="B4" s="2" t="s">
        <v>2</v>
      </c>
    </row>
    <row r="6" spans="2:9" x14ac:dyDescent="0.25">
      <c r="B6" s="3" t="s">
        <v>732</v>
      </c>
      <c r="C6" s="4"/>
      <c r="D6" s="4"/>
      <c r="E6" s="4"/>
      <c r="F6" s="4"/>
      <c r="G6" s="4"/>
      <c r="H6" s="4"/>
      <c r="I6" s="4"/>
    </row>
    <row r="7" spans="2:9" x14ac:dyDescent="0.25">
      <c r="B7" s="4"/>
      <c r="C7" s="3" t="s">
        <v>432</v>
      </c>
      <c r="D7" s="5" t="s">
        <v>281</v>
      </c>
      <c r="E7" s="5" t="s">
        <v>282</v>
      </c>
      <c r="F7" s="5" t="s">
        <v>283</v>
      </c>
      <c r="G7" s="5" t="s">
        <v>284</v>
      </c>
      <c r="H7" s="5" t="s">
        <v>285</v>
      </c>
      <c r="I7" s="3" t="s">
        <v>6</v>
      </c>
    </row>
    <row r="8" spans="2:8" x14ac:dyDescent="0.25">
      <c r="B8" s="2" t="s">
        <v>733</v>
      </c>
      <c r="C8" s="2" t="s">
        <v>12</v>
      </c>
      <c r="D8" s="7">
        <f>DATE(YEAR(Inputs!$D$16)+1,MONTH(Inputs!$D$16),DAY(Inputs!$D$16))</f>
      </c>
      <c r="E8" s="7">
        <f>DATE(YEAR($D$8)+1,MONTH($D$8),DAY($D$8))</f>
      </c>
      <c r="F8" s="7">
        <f>DATE(YEAR($E$8)+1,MONTH($E$8),DAY($E$8))</f>
      </c>
      <c r="G8" s="7">
        <f>DATE(YEAR($F$8)+1,MONTH($F$8),DAY($F$8))</f>
      </c>
      <c r="H8" s="7">
        <f>DATE(YEAR($G$8)+1,MONTH($G$8),DAY($G$8))</f>
      </c>
    </row>
    <row r="9" spans="2:8" x14ac:dyDescent="0.25">
      <c r="B9" s="2" t="s">
        <v>734</v>
      </c>
      <c r="C9" s="2" t="s">
        <v>12</v>
      </c>
      <c r="D9" s="7">
        <f>MAX(Inputs!$D$10,Inputs!$D$16)</f>
      </c>
      <c r="E9" s="7">
        <f>$D$8</f>
      </c>
      <c r="F9" s="7">
        <f>$E$8</f>
      </c>
      <c r="G9" s="7">
        <f>$F$8</f>
      </c>
      <c r="H9" s="7">
        <f>$G$8</f>
      </c>
    </row>
    <row r="10" spans="2:9" x14ac:dyDescent="0.25">
      <c r="B10" s="2" t="s">
        <v>735</v>
      </c>
      <c r="C10" s="2" t="s">
        <v>54</v>
      </c>
      <c r="D10" s="11">
        <f>IF(Inputs!$D$10&gt;Inputs!$D$16,YEARFRAC(Inputs!$D$10,$D$8,1),1)</f>
      </c>
      <c r="E10" s="11">
        <f>YEARFRAC($E$9,$E$8,1)</f>
      </c>
      <c r="F10" s="11">
        <f>YEARFRAC($F$9,$F$8,1)</f>
      </c>
      <c r="G10" s="11">
        <f>YEARFRAC($G$9,$G$8,1)</f>
      </c>
      <c r="H10" s="11">
        <f>YEARFRAC($H$9,$H$8,1)</f>
      </c>
      <c r="I10" s="2" t="s">
        <v>736</v>
      </c>
    </row>
    <row r="11" spans="2:9" x14ac:dyDescent="0.25">
      <c r="B11" s="2" t="s">
        <v>737</v>
      </c>
      <c r="C11" s="2" t="s">
        <v>12</v>
      </c>
      <c r="D11" s="7">
        <f>IF(Inputs!$D$17=1,AVERAGE($D$9,$D$8),$D$8)</f>
      </c>
      <c r="E11" s="7">
        <f>IF(Inputs!$D$17=1,AVERAGE($E$9,$E$8),$E$8)</f>
      </c>
      <c r="F11" s="7">
        <f>IF(Inputs!$D$17=1,AVERAGE($F$9,$F$8),$F$8)</f>
      </c>
      <c r="G11" s="7">
        <f>IF(Inputs!$D$17=1,AVERAGE($G$9,$G$8),$G$8)</f>
      </c>
      <c r="H11" s="7">
        <f>IF(Inputs!$D$17=1,AVERAGE($H$9,$H$8),$H$8)</f>
      </c>
      <c r="I11" s="2" t="s">
        <v>738</v>
      </c>
    </row>
    <row r="12" spans="2:8" x14ac:dyDescent="0.25">
      <c r="B12" s="2" t="s">
        <v>739</v>
      </c>
      <c r="C12" s="2" t="s">
        <v>104</v>
      </c>
      <c r="D12" s="16">
        <f>($D$11-Inputs!$D$10)/Inputs!$D$18</f>
      </c>
      <c r="E12" s="16">
        <f>($E$11-Inputs!$D$10)/Inputs!$D$18</f>
      </c>
      <c r="F12" s="16">
        <f>($F$11-Inputs!$D$10)/Inputs!$D$18</f>
      </c>
      <c r="G12" s="16">
        <f>($G$11-Inputs!$D$10)/Inputs!$D$18</f>
      </c>
      <c r="H12" s="16">
        <f>($H$11-Inputs!$D$10)/Inputs!$D$18</f>
      </c>
    </row>
    <row r="13" spans="2:8" x14ac:dyDescent="0.25">
      <c r="B13" s="2" t="s">
        <v>740</v>
      </c>
      <c r="C13" s="2" t="s">
        <v>61</v>
      </c>
      <c r="D13" s="16">
        <f>(1+WACC!$D$54)^(-$D$12)</f>
      </c>
      <c r="E13" s="16">
        <f>(1+WACC!$D$54)^(-$E$12)</f>
      </c>
      <c r="F13" s="16">
        <f>(1+WACC!$D$54)^(-$F$12)</f>
      </c>
      <c r="G13" s="16">
        <f>(1+WACC!$D$54)^(-$G$12)</f>
      </c>
      <c r="H13" s="16">
        <f>(1+WACC!$D$54)^(-$H$12)</f>
      </c>
    </row>
    <row r="14" spans="2:9" x14ac:dyDescent="0.25">
      <c r="B14" s="2" t="s">
        <v>741</v>
      </c>
      <c r="C14" s="2" t="s">
        <v>14</v>
      </c>
      <c r="D14" s="20">
        <f>'Operating Model'!$E$42</f>
      </c>
      <c r="E14" s="20">
        <f>'Operating Model'!$F$42</f>
      </c>
      <c r="F14" s="20">
        <f>'Operating Model'!$G$42</f>
      </c>
      <c r="G14" s="20">
        <f>'Operating Model'!$H$42</f>
      </c>
      <c r="H14" s="20">
        <f>'Operating Model'!$I$42</f>
      </c>
      <c r="I14" s="2" t="s">
        <v>32</v>
      </c>
    </row>
    <row r="15" spans="2:8" x14ac:dyDescent="0.25">
      <c r="B15" s="2" t="s">
        <v>742</v>
      </c>
      <c r="C15" s="2" t="s">
        <v>14</v>
      </c>
      <c r="D15" s="20">
        <f>$D$14*$D$10</f>
      </c>
      <c r="E15" s="20">
        <f>$E$14*$E$10</f>
      </c>
      <c r="F15" s="20">
        <f>$F$14*$F$10</f>
      </c>
      <c r="G15" s="20">
        <f>$G$14*$G$10</f>
      </c>
      <c r="H15" s="20">
        <f>$H$14*$H$10</f>
      </c>
    </row>
    <row r="16" spans="2:8" x14ac:dyDescent="0.25">
      <c r="B16" s="9" t="s">
        <v>743</v>
      </c>
      <c r="C16" s="2" t="s">
        <v>14</v>
      </c>
      <c r="D16" s="34">
        <f>$D$15*$D$13</f>
      </c>
      <c r="E16" s="34">
        <f>$E$15*$E$13</f>
      </c>
      <c r="F16" s="34">
        <f>$F$15*$F$13</f>
      </c>
      <c r="G16" s="34">
        <f>$G$15*$G$13</f>
      </c>
      <c r="H16" s="34">
        <f>$H$15*$H$13</f>
      </c>
    </row>
    <row r="18" spans="2:9" x14ac:dyDescent="0.25">
      <c r="B18" s="3" t="s">
        <v>270</v>
      </c>
      <c r="C18" s="4"/>
      <c r="D18" s="4"/>
      <c r="E18" s="4"/>
      <c r="F18" s="4"/>
      <c r="G18" s="4"/>
      <c r="H18" s="4"/>
      <c r="I18" s="4"/>
    </row>
    <row r="19" spans="2:9" x14ac:dyDescent="0.25">
      <c r="B19" s="4"/>
      <c r="C19" s="3" t="s">
        <v>4</v>
      </c>
      <c r="D19" s="5" t="s">
        <v>5</v>
      </c>
      <c r="E19" s="4"/>
      <c r="F19" s="4"/>
      <c r="G19" s="4"/>
      <c r="H19" s="4"/>
      <c r="I19" s="3" t="s">
        <v>6</v>
      </c>
    </row>
    <row r="20" spans="2:4" x14ac:dyDescent="0.25">
      <c r="B20" s="9" t="s">
        <v>744</v>
      </c>
      <c r="C20" s="2" t="s">
        <v>14</v>
      </c>
      <c r="D20" s="35">
        <f>SUM($D$16:$H$16)</f>
      </c>
    </row>
    <row r="21" spans="2:9" x14ac:dyDescent="0.25">
      <c r="B21" s="2" t="s">
        <v>745</v>
      </c>
      <c r="C21" s="2" t="s">
        <v>104</v>
      </c>
      <c r="D21" s="16">
        <f>($H$8-Inputs!$D$10)/Inputs!$D$18</f>
      </c>
      <c r="I21" s="2" t="s">
        <v>746</v>
      </c>
    </row>
    <row r="22" spans="2:4" x14ac:dyDescent="0.25">
      <c r="B22" s="2" t="s">
        <v>747</v>
      </c>
      <c r="C22" s="2" t="s">
        <v>61</v>
      </c>
      <c r="D22" s="16">
        <f>(1+WACC!$D$54)^(-$D$21)</f>
      </c>
    </row>
    <row r="23" spans="2:4" x14ac:dyDescent="0.25">
      <c r="B23" s="2" t="s">
        <v>748</v>
      </c>
      <c r="C23" s="2" t="s">
        <v>14</v>
      </c>
      <c r="D23" s="20">
        <f>'Operating Model'!$J$42</f>
      </c>
    </row>
    <row r="24" spans="2:9" x14ac:dyDescent="0.25">
      <c r="B24" s="2" t="s">
        <v>749</v>
      </c>
      <c r="C24" s="2" t="s">
        <v>14</v>
      </c>
      <c r="D24" s="20">
        <f>IF(Inputs!$D$172&lt;WACC!$D$54,$D$23/(WACC!$D$54-Inputs!$D$172),"n/a: g ≥ WACC")</f>
      </c>
      <c r="I24" s="2" t="s">
        <v>750</v>
      </c>
    </row>
    <row r="25" spans="2:4" x14ac:dyDescent="0.25">
      <c r="B25" s="2" t="s">
        <v>751</v>
      </c>
      <c r="C25" s="2" t="s">
        <v>14</v>
      </c>
      <c r="D25" s="20">
        <f>IFERROR($D$24*$D$22,"n/a")</f>
      </c>
    </row>
    <row r="26" spans="2:4" x14ac:dyDescent="0.25">
      <c r="B26" s="2" t="s">
        <v>752</v>
      </c>
      <c r="C26" s="2" t="s">
        <v>14</v>
      </c>
      <c r="D26" s="20">
        <f>'Operating Model'!$I$16</f>
      </c>
    </row>
    <row r="27" spans="2:9" x14ac:dyDescent="0.25">
      <c r="B27" s="2" t="s">
        <v>753</v>
      </c>
      <c r="C27" s="2" t="s">
        <v>14</v>
      </c>
      <c r="D27" s="20">
        <f>$D$26*Inputs!$D$173</f>
      </c>
      <c r="I27" s="2" t="s">
        <v>754</v>
      </c>
    </row>
    <row r="28" spans="2:4" x14ac:dyDescent="0.25">
      <c r="B28" s="2" t="s">
        <v>755</v>
      </c>
      <c r="C28" s="2" t="s">
        <v>14</v>
      </c>
      <c r="D28" s="20">
        <f>$D$27*$D$22</f>
      </c>
    </row>
    <row r="29" spans="2:9" x14ac:dyDescent="0.25">
      <c r="B29" s="9" t="s">
        <v>756</v>
      </c>
      <c r="C29" s="2" t="s">
        <v>14</v>
      </c>
      <c r="D29" s="35">
        <f>IF(Inputs!$D$171="gordon",$D$25,$D$28)</f>
      </c>
      <c r="I29" s="2" t="s">
        <v>757</v>
      </c>
    </row>
    <row r="30" spans="2:4" x14ac:dyDescent="0.25">
      <c r="B30" s="9" t="s">
        <v>396</v>
      </c>
      <c r="C30" s="2" t="s">
        <v>14</v>
      </c>
      <c r="D30" s="34">
        <f>$D$20+$D$29</f>
      </c>
    </row>
    <row r="31" spans="2:4" x14ac:dyDescent="0.25">
      <c r="B31" s="2" t="s">
        <v>65</v>
      </c>
      <c r="C31" s="2" t="s">
        <v>54</v>
      </c>
      <c r="D31" s="11">
        <f>$D$29/$D$30</f>
      </c>
    </row>
    <row r="32" spans="2:4" x14ac:dyDescent="0.25">
      <c r="B32" s="2" t="s">
        <v>758</v>
      </c>
      <c r="C32" s="2" t="s">
        <v>61</v>
      </c>
      <c r="D32" s="14">
        <f>IFERROR($D$24/$D$26,"n/a")</f>
      </c>
    </row>
    <row r="33" spans="2:9" x14ac:dyDescent="0.25">
      <c r="B33" s="2" t="s">
        <v>759</v>
      </c>
      <c r="C33" s="2" t="s">
        <v>54</v>
      </c>
      <c r="D33" s="15">
        <f>WACC!$D$54-$D$23/$D$27</f>
      </c>
      <c r="I33" s="2" t="s">
        <v>760</v>
      </c>
    </row>
    <row r="34" spans="2:4" x14ac:dyDescent="0.25">
      <c r="B34" s="2" t="s">
        <v>761</v>
      </c>
      <c r="C34" s="2" t="s">
        <v>54</v>
      </c>
      <c r="D34" s="15">
        <f>IF(ISNUMBER(Inputs!$D$175),Inputs!$D$175,WACC!$D$54)</f>
      </c>
    </row>
    <row r="35" spans="2:4" x14ac:dyDescent="0.25">
      <c r="B35" s="2" t="s">
        <v>762</v>
      </c>
      <c r="C35" s="2" t="s">
        <v>54</v>
      </c>
      <c r="D35" s="11">
        <f>Inputs!$D$172/$D$34</f>
      </c>
    </row>
    <row r="36" spans="2:9" x14ac:dyDescent="0.25">
      <c r="B36" s="2" t="s">
        <v>763</v>
      </c>
      <c r="C36" s="2" t="s">
        <v>54</v>
      </c>
      <c r="D36" s="11">
        <f>('Operating Model'!$J$21-'Operating Model'!$J$20+'Operating Model'!$J$39)/'Operating Model'!$J$26</f>
      </c>
      <c r="I36" s="2" t="s">
        <v>764</v>
      </c>
    </row>
    <row r="38" spans="2:9" x14ac:dyDescent="0.25">
      <c r="B38" s="3" t="s">
        <v>765</v>
      </c>
      <c r="C38" s="4"/>
      <c r="D38" s="4"/>
      <c r="E38" s="4"/>
      <c r="F38" s="4"/>
      <c r="G38" s="4"/>
      <c r="H38" s="4"/>
      <c r="I38" s="4"/>
    </row>
    <row r="39" spans="2:9" x14ac:dyDescent="0.25">
      <c r="B39" s="4"/>
      <c r="C39" s="3" t="s">
        <v>4</v>
      </c>
      <c r="D39" s="5" t="s">
        <v>5</v>
      </c>
      <c r="E39" s="4"/>
      <c r="F39" s="4"/>
      <c r="G39" s="4"/>
      <c r="H39" s="4"/>
      <c r="I39" s="3" t="s">
        <v>6</v>
      </c>
    </row>
    <row r="40" spans="2:9" x14ac:dyDescent="0.25">
      <c r="B40" s="2" t="s">
        <v>766</v>
      </c>
      <c r="C40" s="2" t="s">
        <v>14</v>
      </c>
      <c r="D40" s="20">
        <f>Inputs!$E$74</f>
      </c>
      <c r="I40" s="2" t="s">
        <v>141</v>
      </c>
    </row>
    <row r="41" spans="2:9" x14ac:dyDescent="0.25">
      <c r="B41" s="2" t="s">
        <v>767</v>
      </c>
      <c r="C41" s="2" t="s">
        <v>14</v>
      </c>
      <c r="D41" s="20">
        <f>Inputs!$E$69</f>
      </c>
      <c r="I41" s="2" t="s">
        <v>141</v>
      </c>
    </row>
    <row r="42" spans="2:9" x14ac:dyDescent="0.25">
      <c r="B42" s="2" t="s">
        <v>768</v>
      </c>
      <c r="C42" s="2" t="s">
        <v>14</v>
      </c>
      <c r="D42" s="20">
        <f>Inputs!$E$68</f>
      </c>
      <c r="I42" s="2" t="s">
        <v>141</v>
      </c>
    </row>
    <row r="43" spans="2:9" x14ac:dyDescent="0.25">
      <c r="B43" s="2" t="s">
        <v>769</v>
      </c>
      <c r="C43" s="2" t="s">
        <v>14</v>
      </c>
      <c r="D43" s="20">
        <f>Inputs!$E$62</f>
      </c>
      <c r="I43" s="2" t="s">
        <v>141</v>
      </c>
    </row>
    <row r="44" spans="2:9" x14ac:dyDescent="0.25">
      <c r="B44" s="2" t="s">
        <v>770</v>
      </c>
      <c r="C44" s="2" t="s">
        <v>14</v>
      </c>
      <c r="D44" s="20">
        <f>IF(ISNUMBER(Inputs!$D$205),Inputs!$D$205,Inputs!$E$61)</f>
      </c>
      <c r="I44" s="2" t="s">
        <v>141</v>
      </c>
    </row>
    <row r="45" spans="2:9" x14ac:dyDescent="0.25">
      <c r="B45" s="2" t="s">
        <v>771</v>
      </c>
      <c r="C45" s="2" t="s">
        <v>14</v>
      </c>
      <c r="D45" s="20">
        <f>-(Inputs!$E$90+Inputs!$E$84+Inputs!$E$85)</f>
      </c>
      <c r="I45" s="2" t="s">
        <v>141</v>
      </c>
    </row>
    <row r="46" spans="2:9" x14ac:dyDescent="0.25">
      <c r="B46" s="2" t="s">
        <v>772</v>
      </c>
      <c r="C46" s="2" t="s">
        <v>14</v>
      </c>
      <c r="D46" s="20">
        <f>-(Inputs!$E$91+Inputs!$E$86)</f>
      </c>
      <c r="I46" s="2" t="s">
        <v>141</v>
      </c>
    </row>
    <row r="47" spans="2:9" x14ac:dyDescent="0.25">
      <c r="B47" s="2" t="s">
        <v>773</v>
      </c>
      <c r="C47" s="2" t="s">
        <v>14</v>
      </c>
      <c r="D47" s="20">
        <f>-IF(Inputs!$D$203=1,(Inputs!$E$96+Inputs!$E$88)*IF(Inputs!$D$204=1,1-Inputs!$D$133,1),0)</f>
      </c>
      <c r="I47" s="2" t="s">
        <v>141</v>
      </c>
    </row>
    <row r="48" spans="2:9" x14ac:dyDescent="0.25">
      <c r="B48" s="2" t="s">
        <v>774</v>
      </c>
      <c r="C48" s="2" t="s">
        <v>14</v>
      </c>
      <c r="D48" s="20">
        <f>-Inputs!$E$81</f>
      </c>
      <c r="I48" s="2" t="s">
        <v>141</v>
      </c>
    </row>
    <row r="49" spans="2:9" x14ac:dyDescent="0.25">
      <c r="B49" s="2" t="s">
        <v>775</v>
      </c>
      <c r="C49" s="2" t="s">
        <v>14</v>
      </c>
      <c r="D49" s="20">
        <f>-Inputs!$E$82</f>
      </c>
      <c r="I49" s="2" t="s">
        <v>141</v>
      </c>
    </row>
    <row r="50" spans="2:9" x14ac:dyDescent="0.25">
      <c r="B50" s="2" t="s">
        <v>776</v>
      </c>
      <c r="C50" s="2" t="s">
        <v>14</v>
      </c>
      <c r="D50" s="20">
        <f>Inputs!$E$73+Inputs!$E$63</f>
      </c>
      <c r="I50" s="2" t="s">
        <v>777</v>
      </c>
    </row>
    <row r="51" spans="2:4" x14ac:dyDescent="0.25">
      <c r="B51" s="2" t="s">
        <v>778</v>
      </c>
      <c r="C51" s="2" t="s">
        <v>14</v>
      </c>
      <c r="D51" s="33">
        <f>SUM($D$40:$D$49)</f>
      </c>
    </row>
    <row r="52" spans="2:4" x14ac:dyDescent="0.25">
      <c r="B52" s="9" t="s">
        <v>397</v>
      </c>
      <c r="C52" s="2" t="s">
        <v>14</v>
      </c>
      <c r="D52" s="34">
        <f>$D$30+$D$51</f>
      </c>
    </row>
    <row r="53" spans="2:4" x14ac:dyDescent="0.25">
      <c r="B53" s="2" t="s">
        <v>94</v>
      </c>
      <c r="C53" s="2" t="s">
        <v>90</v>
      </c>
      <c r="D53" s="20">
        <f>Inputs!$D$15</f>
      </c>
    </row>
    <row r="54" spans="2:4" x14ac:dyDescent="0.25">
      <c r="B54" s="9" t="s">
        <v>394</v>
      </c>
      <c r="C54" s="2" t="s">
        <v>14</v>
      </c>
      <c r="D54" s="40">
        <f>$D$52/$D$53</f>
      </c>
    </row>
    <row r="55" spans="2:4" x14ac:dyDescent="0.25">
      <c r="B55" s="2" t="s">
        <v>779</v>
      </c>
      <c r="C55" s="2" t="s">
        <v>54</v>
      </c>
      <c r="D55" s="11">
        <f>$D$54/Inputs!$D$11-1</f>
      </c>
    </row>
    <row r="57" spans="2:9" x14ac:dyDescent="0.25">
      <c r="B57" s="3" t="s">
        <v>780</v>
      </c>
      <c r="C57" s="4"/>
      <c r="D57" s="4"/>
      <c r="E57" s="4"/>
      <c r="F57" s="4"/>
      <c r="G57" s="4"/>
      <c r="H57" s="4"/>
      <c r="I57" s="4"/>
    </row>
    <row r="58" spans="2:9" x14ac:dyDescent="0.25">
      <c r="B58" s="4"/>
      <c r="C58" s="3" t="s">
        <v>4</v>
      </c>
      <c r="D58" s="5" t="s">
        <v>5</v>
      </c>
      <c r="E58" s="4"/>
      <c r="F58" s="4"/>
      <c r="G58" s="4"/>
      <c r="H58" s="4"/>
      <c r="I58" s="3" t="s">
        <v>6</v>
      </c>
    </row>
    <row r="59" spans="2:4" x14ac:dyDescent="0.25">
      <c r="B59" s="2" t="s">
        <v>60</v>
      </c>
      <c r="C59" s="2" t="s">
        <v>61</v>
      </c>
      <c r="D59" s="14">
        <f>$D$30/Normalization!$D$16</f>
      </c>
    </row>
    <row r="60" spans="2:4" x14ac:dyDescent="0.25">
      <c r="B60" s="2" t="s">
        <v>62</v>
      </c>
      <c r="C60" s="2" t="s">
        <v>61</v>
      </c>
      <c r="D60" s="14">
        <f>$D$30/'Operating Model'!$E$16</f>
      </c>
    </row>
    <row r="61" spans="2:4" x14ac:dyDescent="0.25">
      <c r="B61" s="2" t="s">
        <v>781</v>
      </c>
      <c r="C61" s="2" t="s">
        <v>61</v>
      </c>
      <c r="D61" s="14">
        <f>$D$52/Inputs!$E$49</f>
      </c>
    </row>
    <row r="62" spans="2:4" x14ac:dyDescent="0.25">
      <c r="B62" s="2" t="s">
        <v>782</v>
      </c>
      <c r="C62" s="2" t="s">
        <v>61</v>
      </c>
      <c r="D62" s="14">
        <f>$D$52/'Operating Model'!$E$40</f>
      </c>
    </row>
  </sheetData>
  <pageMargins left="0.4" right="0.4" top="0.5" bottom="0.6" header="0.3" footer="0.3"/>
  <pageSetup paperSize="9" orientation="landscape" fitToWidth="1" fitToHeight="0"/>
  <headerFooter>
    <oddFooter>&amp;CMOPCO | DCF |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42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2" customWidth="1"/>
    <col min="3" max="3" width="11" customWidth="1"/>
    <col min="4" max="8" width="17" customWidth="1"/>
    <col min="9" max="9" width="70" customWidth="1"/>
  </cols>
  <sheetData>
    <row r="2" spans="2:2" x14ac:dyDescent="0.25">
      <c r="B2" s="1" t="s">
        <v>783</v>
      </c>
    </row>
    <row r="3" spans="2:2" x14ac:dyDescent="0.25">
      <c r="B3" s="2" t="s">
        <v>784</v>
      </c>
    </row>
    <row r="4" spans="2:2" x14ac:dyDescent="0.25">
      <c r="B4" s="2" t="s">
        <v>2</v>
      </c>
    </row>
    <row r="6" spans="2:9" x14ac:dyDescent="0.25">
      <c r="B6" s="3" t="s">
        <v>785</v>
      </c>
      <c r="C6" s="4"/>
      <c r="D6" s="4"/>
      <c r="E6" s="4"/>
      <c r="F6" s="4"/>
      <c r="G6" s="4"/>
      <c r="H6" s="4"/>
      <c r="I6" s="4"/>
    </row>
    <row r="7" spans="2:9" x14ac:dyDescent="0.25">
      <c r="B7" s="4"/>
      <c r="C7" s="3" t="s">
        <v>432</v>
      </c>
      <c r="D7" s="5" t="s">
        <v>281</v>
      </c>
      <c r="E7" s="5" t="s">
        <v>282</v>
      </c>
      <c r="F7" s="5" t="s">
        <v>283</v>
      </c>
      <c r="G7" s="5" t="s">
        <v>284</v>
      </c>
      <c r="H7" s="5" t="s">
        <v>285</v>
      </c>
      <c r="I7" s="3" t="s">
        <v>6</v>
      </c>
    </row>
    <row r="8" spans="2:8" x14ac:dyDescent="0.25">
      <c r="B8" s="2" t="s">
        <v>341</v>
      </c>
      <c r="C8" s="2" t="s">
        <v>54</v>
      </c>
      <c r="D8" s="15">
        <f>Inputs!$D$225</f>
      </c>
      <c r="E8" s="15">
        <f>Inputs!$E$225</f>
      </c>
      <c r="F8" s="15">
        <f>Inputs!$F$225</f>
      </c>
      <c r="G8" s="15">
        <f>Inputs!$G$225</f>
      </c>
      <c r="H8" s="15">
        <f>Inputs!$H$225</f>
      </c>
    </row>
    <row r="9" spans="2:8" x14ac:dyDescent="0.25">
      <c r="B9" s="2" t="s">
        <v>343</v>
      </c>
      <c r="C9" s="2" t="s">
        <v>54</v>
      </c>
      <c r="D9" s="15">
        <f>Inputs!$D$226</f>
      </c>
      <c r="E9" s="15">
        <f>Inputs!$E$226</f>
      </c>
      <c r="F9" s="15">
        <f>Inputs!$F$226</f>
      </c>
      <c r="G9" s="15">
        <f>Inputs!$G$226</f>
      </c>
      <c r="H9" s="15">
        <f>Inputs!$H$226</f>
      </c>
    </row>
    <row r="10" spans="2:8" x14ac:dyDescent="0.25">
      <c r="B10" s="2" t="s">
        <v>786</v>
      </c>
      <c r="C10" s="2" t="s">
        <v>54</v>
      </c>
      <c r="D10" s="15">
        <f>(1+$D$8)/(1+$D$9)-1</f>
      </c>
      <c r="E10" s="15">
        <f>(1+$E$8)/(1+$E$9)-1</f>
      </c>
      <c r="F10" s="15">
        <f>(1+$F$8)/(1+$F$9)-1</f>
      </c>
      <c r="G10" s="15">
        <f>(1+$G$8)/(1+$G$9)-1</f>
      </c>
      <c r="H10" s="15">
        <f>(1+$H$8)/(1+$H$9)-1</f>
      </c>
    </row>
    <row r="11" spans="2:9" x14ac:dyDescent="0.25">
      <c r="B11" s="2" t="s">
        <v>787</v>
      </c>
      <c r="C11" s="2" t="s">
        <v>223</v>
      </c>
      <c r="D11" s="16">
        <f>Inputs!$D$134*(1+$D$8)/(1+$D$9)</f>
      </c>
      <c r="E11" s="16">
        <f>$D$11*(1+$E$8)/(1+$E$9)</f>
      </c>
      <c r="F11" s="16">
        <f>$E$11*(1+$F$8)/(1+$F$9)</f>
      </c>
      <c r="G11" s="16">
        <f>$F$11*(1+$G$8)/(1+$G$9)</f>
      </c>
      <c r="H11" s="16">
        <f>$G$11*(1+$H$8)/(1+$H$9)</f>
      </c>
      <c r="I11" s="2" t="s">
        <v>788</v>
      </c>
    </row>
    <row r="12" spans="2:8" x14ac:dyDescent="0.25">
      <c r="B12" s="2" t="s">
        <v>789</v>
      </c>
      <c r="C12" s="2" t="s">
        <v>790</v>
      </c>
      <c r="D12" s="20">
        <f>DCF!$D$10*'Operating Model'!$E$42/$D$11</f>
      </c>
      <c r="E12" s="20">
        <f>DCF!$E$10*'Operating Model'!$F$42/$E$11</f>
      </c>
      <c r="F12" s="20">
        <f>DCF!$F$10*'Operating Model'!$G$42/$F$11</f>
      </c>
      <c r="G12" s="20">
        <f>DCF!$G$10*'Operating Model'!$H$42/$G$11</f>
      </c>
      <c r="H12" s="20">
        <f>DCF!$H$10*'Operating Model'!$I$42/$H$11</f>
      </c>
    </row>
    <row r="14" spans="2:9" x14ac:dyDescent="0.25">
      <c r="B14" s="3" t="s">
        <v>791</v>
      </c>
      <c r="C14" s="4"/>
      <c r="D14" s="4"/>
      <c r="E14" s="4"/>
      <c r="F14" s="4"/>
      <c r="G14" s="4"/>
      <c r="H14" s="4"/>
      <c r="I14" s="4"/>
    </row>
    <row r="15" spans="2:9" x14ac:dyDescent="0.25">
      <c r="B15" s="4"/>
      <c r="C15" s="3" t="s">
        <v>4</v>
      </c>
      <c r="D15" s="5" t="s">
        <v>5</v>
      </c>
      <c r="E15" s="4"/>
      <c r="F15" s="4"/>
      <c r="G15" s="4"/>
      <c r="H15" s="4"/>
      <c r="I15" s="3" t="s">
        <v>6</v>
      </c>
    </row>
    <row r="16" spans="2:4" x14ac:dyDescent="0.25">
      <c r="B16" s="2" t="s">
        <v>792</v>
      </c>
      <c r="C16" s="2" t="s">
        <v>54</v>
      </c>
      <c r="D16" s="15">
        <f>Inputs!$D$127</f>
      </c>
    </row>
    <row r="17" spans="2:9" x14ac:dyDescent="0.25">
      <c r="B17" s="2" t="s">
        <v>793</v>
      </c>
      <c r="C17" s="2" t="s">
        <v>54</v>
      </c>
      <c r="D17" s="15">
        <f>$D$16+WACC!$D$21*WACC!$D$25+WACC!$D$26+WACC!$D$27</f>
      </c>
      <c r="I17" s="2" t="s">
        <v>794</v>
      </c>
    </row>
    <row r="18" spans="2:9" x14ac:dyDescent="0.25">
      <c r="B18" s="2" t="s">
        <v>795</v>
      </c>
      <c r="C18" s="2" t="s">
        <v>54</v>
      </c>
      <c r="D18" s="15">
        <f>$D$16+WACC!$D$46+WACC!$D$39</f>
      </c>
      <c r="I18" s="2" t="s">
        <v>796</v>
      </c>
    </row>
    <row r="19" spans="2:4" x14ac:dyDescent="0.25">
      <c r="B19" s="9" t="s">
        <v>797</v>
      </c>
      <c r="C19" s="2" t="s">
        <v>54</v>
      </c>
      <c r="D19" s="37">
        <f>WACC!$D$52*$D$17+WACC!$D$53*$D$18*(1-WACC!$D$44)</f>
      </c>
    </row>
    <row r="21" spans="2:9" x14ac:dyDescent="0.25">
      <c r="B21" s="3" t="s">
        <v>798</v>
      </c>
      <c r="C21" s="4"/>
      <c r="D21" s="4"/>
      <c r="E21" s="4"/>
      <c r="F21" s="4"/>
      <c r="G21" s="4"/>
      <c r="H21" s="4"/>
      <c r="I21" s="4"/>
    </row>
    <row r="22" spans="2:9" x14ac:dyDescent="0.25">
      <c r="B22" s="4"/>
      <c r="C22" s="3" t="s">
        <v>432</v>
      </c>
      <c r="D22" s="5" t="s">
        <v>281</v>
      </c>
      <c r="E22" s="5" t="s">
        <v>282</v>
      </c>
      <c r="F22" s="5" t="s">
        <v>283</v>
      </c>
      <c r="G22" s="5" t="s">
        <v>284</v>
      </c>
      <c r="H22" s="5" t="s">
        <v>285</v>
      </c>
      <c r="I22" s="3" t="s">
        <v>6</v>
      </c>
    </row>
    <row r="23" spans="2:8" x14ac:dyDescent="0.25">
      <c r="B23" s="2" t="s">
        <v>799</v>
      </c>
      <c r="C23" s="2" t="s">
        <v>61</v>
      </c>
      <c r="D23" s="16">
        <f>(1+$D$19)^(-DCF!$D$12)</f>
      </c>
      <c r="E23" s="16">
        <f>(1+$D$19)^(-DCF!$E$12)</f>
      </c>
      <c r="F23" s="16">
        <f>(1+$D$19)^(-DCF!$F$12)</f>
      </c>
      <c r="G23" s="16">
        <f>(1+$D$19)^(-DCF!$G$12)</f>
      </c>
      <c r="H23" s="16">
        <f>(1+$D$19)^(-DCF!$H$12)</f>
      </c>
    </row>
    <row r="24" spans="2:8" x14ac:dyDescent="0.25">
      <c r="B24" s="2" t="s">
        <v>800</v>
      </c>
      <c r="C24" s="2" t="s">
        <v>790</v>
      </c>
      <c r="D24" s="20">
        <f>$D$12*$D$23</f>
      </c>
      <c r="E24" s="20">
        <f>$E$12*$E$23</f>
      </c>
      <c r="F24" s="20">
        <f>$F$12*$F$23</f>
      </c>
      <c r="G24" s="20">
        <f>$G$12*$G$23</f>
      </c>
      <c r="H24" s="20">
        <f>$H$12*$H$23</f>
      </c>
    </row>
    <row r="26" spans="2:9" x14ac:dyDescent="0.25">
      <c r="B26" s="3" t="s">
        <v>801</v>
      </c>
      <c r="C26" s="4"/>
      <c r="D26" s="4"/>
      <c r="E26" s="4"/>
      <c r="F26" s="4"/>
      <c r="G26" s="4"/>
      <c r="H26" s="4"/>
      <c r="I26" s="4"/>
    </row>
    <row r="27" spans="2:9" x14ac:dyDescent="0.25">
      <c r="B27" s="4"/>
      <c r="C27" s="3" t="s">
        <v>4</v>
      </c>
      <c r="D27" s="5" t="s">
        <v>5</v>
      </c>
      <c r="E27" s="4"/>
      <c r="F27" s="4"/>
      <c r="G27" s="4"/>
      <c r="H27" s="4"/>
      <c r="I27" s="3" t="s">
        <v>6</v>
      </c>
    </row>
    <row r="28" spans="2:4" x14ac:dyDescent="0.25">
      <c r="B28" s="2" t="s">
        <v>802</v>
      </c>
      <c r="C28" s="2" t="s">
        <v>223</v>
      </c>
      <c r="D28" s="16">
        <f>$H$11*(1+$H$8)/(1+$H$9)</f>
      </c>
    </row>
    <row r="29" spans="2:9" x14ac:dyDescent="0.25">
      <c r="B29" s="2" t="s">
        <v>803</v>
      </c>
      <c r="C29" s="2" t="s">
        <v>54</v>
      </c>
      <c r="D29" s="15">
        <f>(1+Inputs!$D$172)*(1+$H$9)/(1+$H$8)-1</f>
      </c>
      <c r="I29" s="2" t="s">
        <v>804</v>
      </c>
    </row>
    <row r="30" spans="2:4" x14ac:dyDescent="0.25">
      <c r="B30" s="2" t="s">
        <v>805</v>
      </c>
      <c r="C30" s="2" t="s">
        <v>790</v>
      </c>
      <c r="D30" s="20">
        <f>SUM($D$24:$H$24)</f>
      </c>
    </row>
    <row r="31" spans="2:4" x14ac:dyDescent="0.25">
      <c r="B31" s="2" t="s">
        <v>806</v>
      </c>
      <c r="C31" s="2" t="s">
        <v>790</v>
      </c>
      <c r="D31" s="20">
        <f>IF(Inputs!$D$171="gordon",'Operating Model'!$J$42/$D$28/($D$19-$D$29),'Operating Model'!$I$16/$H$11*Inputs!$D$173)</f>
      </c>
    </row>
    <row r="32" spans="2:4" x14ac:dyDescent="0.25">
      <c r="B32" s="2" t="s">
        <v>807</v>
      </c>
      <c r="C32" s="2" t="s">
        <v>790</v>
      </c>
      <c r="D32" s="20">
        <f>$D$31*(1+$D$19)^(-DCF!$D$21)</f>
      </c>
    </row>
    <row r="33" spans="2:4" x14ac:dyDescent="0.25">
      <c r="B33" s="2" t="s">
        <v>808</v>
      </c>
      <c r="C33" s="2" t="s">
        <v>790</v>
      </c>
      <c r="D33" s="33">
        <f>$D$30+$D$32</f>
      </c>
    </row>
    <row r="34" spans="2:4" x14ac:dyDescent="0.25">
      <c r="B34" s="2" t="s">
        <v>809</v>
      </c>
      <c r="C34" s="2" t="s">
        <v>790</v>
      </c>
      <c r="D34" s="20">
        <f>DCF!$D$51/Inputs!$D$134</f>
      </c>
    </row>
    <row r="35" spans="2:4" x14ac:dyDescent="0.25">
      <c r="B35" s="9" t="s">
        <v>810</v>
      </c>
      <c r="C35" s="2" t="s">
        <v>790</v>
      </c>
      <c r="D35" s="35">
        <f>$D$33+$D$34</f>
      </c>
    </row>
    <row r="36" spans="2:4" x14ac:dyDescent="0.25">
      <c r="B36" s="2" t="s">
        <v>811</v>
      </c>
      <c r="C36" s="2" t="s">
        <v>14</v>
      </c>
      <c r="D36" s="20">
        <f>$D$35*Inputs!$D$134</f>
      </c>
    </row>
    <row r="37" spans="2:4" x14ac:dyDescent="0.25">
      <c r="B37" s="2" t="s">
        <v>812</v>
      </c>
      <c r="C37" s="2" t="s">
        <v>14</v>
      </c>
      <c r="D37" s="20">
        <f>DCF!$D$52</f>
      </c>
    </row>
    <row r="38" spans="2:4" x14ac:dyDescent="0.25">
      <c r="B38" s="9" t="s">
        <v>813</v>
      </c>
      <c r="C38" s="2" t="s">
        <v>54</v>
      </c>
      <c r="D38" s="13">
        <f>$D$36/$D$37-1</f>
      </c>
    </row>
    <row r="39" spans="2:4" x14ac:dyDescent="0.25">
      <c r="B39" s="2" t="s">
        <v>814</v>
      </c>
      <c r="C39" s="2" t="s">
        <v>326</v>
      </c>
      <c r="D39" s="15">
        <f>WACC!$D$12-$D$16</f>
      </c>
    </row>
    <row r="40" spans="2:4" x14ac:dyDescent="0.25">
      <c r="B40" s="2" t="s">
        <v>815</v>
      </c>
      <c r="C40" s="2" t="s">
        <v>326</v>
      </c>
      <c r="D40" s="15">
        <f>AVERAGE($D$10:$H$10)</f>
      </c>
    </row>
    <row r="42" spans="2:2" x14ac:dyDescent="0.25">
      <c r="B42" s="2">
        <f>IF(ABS($D$38)&lt;=Inputs!$D$255,"The USD valuation converted at spot is within "&amp;TEXT(ABS($D$38),"0.0%")&amp;" of the EGP valuation. The EGP discount rate and the inflation path used for forward FX rates are broadly consistent.","The USD valuation converted at spot is "&amp;TEXT(ABS($D$38),"0.0%")&amp;IF($D$38&gt;0," above"," below")&amp;" the EGP valuation. The EGP risk-free rate exceeds the US 10Y by "&amp;SUBSTITUTE(TEXT($D$39,"0.00%"),"%","pp")&amp;", while the forward FX rates assume an average inflation differential of "&amp;SUBSTITUTE(TEXT($D$40,"0.00%"),"%","pp")&amp;"; the EGP discount rate implies "&amp;IF($D$38&gt;0,"more","less")&amp;" depreciation than the inflation path.")</f>
      </c>
    </row>
  </sheetData>
  <pageMargins left="0.4" right="0.4" top="0.5" bottom="0.6" header="0.3" footer="0.3"/>
  <pageSetup paperSize="9" orientation="landscape" fitToWidth="1" fitToHeight="0"/>
  <headerFooter>
    <oddFooter>&amp;CMOPCO | USD Check |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35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2" customWidth="1"/>
    <col min="3" max="3" width="11" customWidth="1"/>
    <col min="4" max="8" width="17" customWidth="1"/>
    <col min="9" max="9" width="70" customWidth="1"/>
  </cols>
  <sheetData>
    <row r="2" spans="2:2" x14ac:dyDescent="0.25">
      <c r="B2" s="1" t="s">
        <v>816</v>
      </c>
    </row>
    <row r="3" spans="2:2" x14ac:dyDescent="0.25">
      <c r="B3" s="2" t="s">
        <v>817</v>
      </c>
    </row>
    <row r="4" spans="2:2" x14ac:dyDescent="0.25">
      <c r="B4" s="2" t="s">
        <v>2</v>
      </c>
    </row>
    <row r="6" spans="2:9" x14ac:dyDescent="0.25">
      <c r="B6" s="3" t="s">
        <v>28</v>
      </c>
      <c r="C6" s="4"/>
      <c r="D6" s="4"/>
      <c r="E6" s="4"/>
      <c r="F6" s="4"/>
      <c r="G6" s="4"/>
      <c r="H6" s="4"/>
      <c r="I6" s="4"/>
    </row>
    <row r="7" spans="2:9" x14ac:dyDescent="0.25">
      <c r="B7" s="4"/>
      <c r="C7" s="3" t="s">
        <v>4</v>
      </c>
      <c r="D7" s="5" t="s">
        <v>5</v>
      </c>
      <c r="E7" s="4"/>
      <c r="F7" s="4"/>
      <c r="G7" s="4"/>
      <c r="H7" s="4"/>
      <c r="I7" s="3" t="s">
        <v>6</v>
      </c>
    </row>
    <row r="8" spans="2:9" x14ac:dyDescent="0.25">
      <c r="B8" s="2" t="s">
        <v>818</v>
      </c>
      <c r="C8" s="2" t="s">
        <v>14</v>
      </c>
      <c r="D8" s="8">
        <f>IF(ISNUMBER(Inputs!$D$217),Inputs!$D$217,-Inputs!$E$112/Inputs!$D$13)</f>
      </c>
      <c r="I8" s="2" t="s">
        <v>819</v>
      </c>
    </row>
    <row r="9" spans="2:4" x14ac:dyDescent="0.25">
      <c r="B9" s="2" t="s">
        <v>67</v>
      </c>
      <c r="C9" s="2" t="s">
        <v>54</v>
      </c>
      <c r="D9" s="15">
        <f>WACC!$D$30</f>
      </c>
    </row>
    <row r="10" spans="2:4" x14ac:dyDescent="0.25">
      <c r="B10" s="2" t="s">
        <v>332</v>
      </c>
      <c r="C10" s="2" t="s">
        <v>54</v>
      </c>
      <c r="D10" s="15">
        <f>Inputs!$D$218</f>
      </c>
    </row>
    <row r="11" spans="2:4" x14ac:dyDescent="0.25">
      <c r="B11" s="2" t="s">
        <v>336</v>
      </c>
      <c r="C11" s="2" t="s">
        <v>54</v>
      </c>
      <c r="D11" s="15">
        <f>Inputs!$D$220</f>
      </c>
    </row>
    <row r="12" spans="2:9" x14ac:dyDescent="0.25">
      <c r="B12" s="2" t="s">
        <v>334</v>
      </c>
      <c r="C12" s="2" t="s">
        <v>104</v>
      </c>
      <c r="D12" s="29">
        <f>Inputs!$D$219</f>
      </c>
      <c r="I12" s="2" t="s">
        <v>820</v>
      </c>
    </row>
    <row r="14" spans="2:9" x14ac:dyDescent="0.25">
      <c r="B14" s="3" t="s">
        <v>821</v>
      </c>
      <c r="C14" s="4"/>
      <c r="D14" s="4"/>
      <c r="E14" s="4"/>
      <c r="F14" s="4"/>
      <c r="G14" s="4"/>
      <c r="H14" s="4"/>
      <c r="I14" s="4"/>
    </row>
    <row r="15" spans="2:9" x14ac:dyDescent="0.25">
      <c r="B15" s="4"/>
      <c r="C15" s="3" t="s">
        <v>4</v>
      </c>
      <c r="D15" s="5" t="s">
        <v>822</v>
      </c>
      <c r="E15" s="5" t="s">
        <v>823</v>
      </c>
      <c r="F15" s="5" t="s">
        <v>824</v>
      </c>
      <c r="G15" s="5" t="s">
        <v>825</v>
      </c>
      <c r="H15" s="5" t="s">
        <v>826</v>
      </c>
      <c r="I15" s="3" t="s">
        <v>6</v>
      </c>
    </row>
    <row r="16" spans="2:8" x14ac:dyDescent="0.25">
      <c r="B16" s="2" t="s">
        <v>827</v>
      </c>
      <c r="C16" s="2" t="s">
        <v>14</v>
      </c>
      <c r="D16" s="8">
        <f>$D$8*(1+$D$10)</f>
      </c>
      <c r="E16" s="8">
        <f>$D$16*(1+$D$10)</f>
      </c>
      <c r="F16" s="8">
        <f>$E$16*(1+$D$10)</f>
      </c>
      <c r="G16" s="8">
        <f>$F$16*(1+$D$10)</f>
      </c>
      <c r="H16" s="8">
        <f>$G$16*(1+$D$10)</f>
      </c>
    </row>
    <row r="17" spans="2:8" x14ac:dyDescent="0.25">
      <c r="B17" s="2" t="s">
        <v>740</v>
      </c>
      <c r="C17" s="2" t="s">
        <v>61</v>
      </c>
      <c r="D17" s="16">
        <f>1/(1+$D$9)</f>
      </c>
      <c r="E17" s="16">
        <f>$D$17/(1+$D$9)</f>
      </c>
      <c r="F17" s="16">
        <f>$E$17/(1+$D$9)</f>
      </c>
      <c r="G17" s="16">
        <f>$F$17/(1+$D$9)</f>
      </c>
      <c r="H17" s="16">
        <f>$G$17/(1+$D$9)</f>
      </c>
    </row>
    <row r="18" spans="2:8" x14ac:dyDescent="0.25">
      <c r="B18" s="2" t="s">
        <v>743</v>
      </c>
      <c r="C18" s="2" t="s">
        <v>14</v>
      </c>
      <c r="D18" s="8">
        <f>$D$16*$D$17</f>
      </c>
      <c r="E18" s="8">
        <f>$E$16*$E$17</f>
      </c>
      <c r="F18" s="8">
        <f>$F$16*$F$17</f>
      </c>
      <c r="G18" s="8">
        <f>$G$16*$G$17</f>
      </c>
      <c r="H18" s="8">
        <f>$H$16*$H$17</f>
      </c>
    </row>
    <row r="20" spans="2:9" x14ac:dyDescent="0.25">
      <c r="B20" s="3" t="s">
        <v>44</v>
      </c>
      <c r="C20" s="4"/>
      <c r="D20" s="4"/>
      <c r="E20" s="4"/>
      <c r="F20" s="4"/>
      <c r="G20" s="4"/>
      <c r="H20" s="4"/>
      <c r="I20" s="4"/>
    </row>
    <row r="21" spans="2:9" x14ac:dyDescent="0.25">
      <c r="B21" s="4"/>
      <c r="C21" s="3" t="s">
        <v>4</v>
      </c>
      <c r="D21" s="5" t="s">
        <v>5</v>
      </c>
      <c r="E21" s="4"/>
      <c r="F21" s="4"/>
      <c r="G21" s="4"/>
      <c r="H21" s="4"/>
      <c r="I21" s="3" t="s">
        <v>6</v>
      </c>
    </row>
    <row r="22" spans="2:4" x14ac:dyDescent="0.25">
      <c r="B22" s="2" t="s">
        <v>828</v>
      </c>
      <c r="C22" s="2" t="s">
        <v>14</v>
      </c>
      <c r="D22" s="8">
        <f>SUM($D$18:$H$18)</f>
      </c>
    </row>
    <row r="23" spans="2:4" x14ac:dyDescent="0.25">
      <c r="B23" s="2" t="s">
        <v>829</v>
      </c>
      <c r="C23" s="2" t="s">
        <v>14</v>
      </c>
      <c r="D23" s="8">
        <f>IF($D$9&gt;$D$11,$H$16*(1+$D$11)/($D$9-$D$11),"n/a: Ke ≤ g")</f>
      </c>
    </row>
    <row r="24" spans="2:4" x14ac:dyDescent="0.25">
      <c r="B24" s="2" t="s">
        <v>830</v>
      </c>
      <c r="C24" s="2" t="s">
        <v>14</v>
      </c>
      <c r="D24" s="8">
        <f>IFERROR($D$23*$H$17,"n/a")</f>
      </c>
    </row>
    <row r="25" spans="2:4" x14ac:dyDescent="0.25">
      <c r="B25" s="9" t="s">
        <v>831</v>
      </c>
      <c r="C25" s="2" t="s">
        <v>14</v>
      </c>
      <c r="D25" s="12">
        <f>IFERROR($D$22+$D$24,"n/a")</f>
      </c>
    </row>
    <row r="26" spans="2:4" x14ac:dyDescent="0.25">
      <c r="B26" s="2" t="s">
        <v>832</v>
      </c>
      <c r="C26" s="2" t="s">
        <v>104</v>
      </c>
      <c r="D26" s="28">
        <f>$D$12*Inputs!$D$221</f>
      </c>
    </row>
    <row r="27" spans="2:4" x14ac:dyDescent="0.25">
      <c r="B27" s="2" t="s">
        <v>833</v>
      </c>
      <c r="C27" s="2" t="s">
        <v>14</v>
      </c>
      <c r="D27" s="8">
        <f>IF($D$9&gt;$D$11,$D$8*(1+$D$11)/($D$9-$D$11)+$D$8*$D$26*($D$10-$D$11)/($D$9-$D$11),"n/a")</f>
      </c>
    </row>
    <row r="29" spans="2:9" x14ac:dyDescent="0.25">
      <c r="B29" s="3" t="s">
        <v>834</v>
      </c>
      <c r="C29" s="4"/>
      <c r="D29" s="4"/>
      <c r="E29" s="4"/>
      <c r="F29" s="4"/>
      <c r="G29" s="4"/>
      <c r="H29" s="4"/>
      <c r="I29" s="4"/>
    </row>
    <row r="30" spans="2:9" x14ac:dyDescent="0.25">
      <c r="B30" s="4"/>
      <c r="C30" s="3" t="s">
        <v>4</v>
      </c>
      <c r="D30" s="5" t="s">
        <v>5</v>
      </c>
      <c r="E30" s="4"/>
      <c r="F30" s="4"/>
      <c r="G30" s="4"/>
      <c r="H30" s="4"/>
      <c r="I30" s="3" t="s">
        <v>6</v>
      </c>
    </row>
    <row r="31" spans="2:4" x14ac:dyDescent="0.25">
      <c r="B31" s="2" t="s">
        <v>835</v>
      </c>
      <c r="C31" s="2" t="s">
        <v>54</v>
      </c>
      <c r="D31" s="11">
        <f>Inputs!$E$49/AVERAGE(Inputs!$D$83,Inputs!$E$83)</f>
      </c>
    </row>
    <row r="32" spans="2:4" x14ac:dyDescent="0.25">
      <c r="B32" s="2" t="s">
        <v>836</v>
      </c>
      <c r="C32" s="2" t="s">
        <v>54</v>
      </c>
      <c r="D32" s="11">
        <f>-Inputs!$E$112/Inputs!$E$49</f>
      </c>
    </row>
    <row r="33" spans="2:4" x14ac:dyDescent="0.25">
      <c r="B33" s="2" t="s">
        <v>837</v>
      </c>
      <c r="C33" s="2" t="s">
        <v>54</v>
      </c>
      <c r="D33" s="15">
        <f>$D$31*(1-$D$32)</f>
      </c>
    </row>
    <row r="34" spans="2:9" x14ac:dyDescent="0.25">
      <c r="B34" s="2" t="s">
        <v>838</v>
      </c>
      <c r="C34" s="2" t="s">
        <v>839</v>
      </c>
      <c r="D34" s="2">
        <f>$D$11&lt;=$D$33</f>
      </c>
      <c r="I34" s="2" t="s">
        <v>840</v>
      </c>
    </row>
    <row r="35" spans="2:4" x14ac:dyDescent="0.25">
      <c r="B35" s="2" t="s">
        <v>841</v>
      </c>
      <c r="C35" s="2" t="s">
        <v>839</v>
      </c>
      <c r="D35" s="2">
        <f>$D$32&lt;=1</f>
      </c>
    </row>
  </sheetData>
  <pageMargins left="0.4" right="0.4" top="0.5" bottom="0.6" header="0.3" footer="0.3"/>
  <pageSetup paperSize="9" orientation="landscape" fitToWidth="1" fitToHeight="0"/>
  <headerFooter>
    <oddFooter>&amp;CMOPCO | DDM |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16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2" customWidth="1"/>
    <col min="3" max="3" width="11" customWidth="1"/>
    <col min="4" max="11" width="17" customWidth="1"/>
    <col min="12" max="12" width="70" customWidth="1"/>
  </cols>
  <sheetData>
    <row r="2" spans="2:2" x14ac:dyDescent="0.25">
      <c r="B2" s="1" t="s">
        <v>842</v>
      </c>
    </row>
    <row r="3" spans="2:2" x14ac:dyDescent="0.25">
      <c r="B3" s="2" t="s">
        <v>843</v>
      </c>
    </row>
    <row r="4" spans="2:2" x14ac:dyDescent="0.25">
      <c r="B4" s="2" t="s">
        <v>2</v>
      </c>
    </row>
    <row r="6" spans="2:12" x14ac:dyDescent="0.25">
      <c r="B6" s="3" t="s">
        <v>358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2:2" x14ac:dyDescent="0.25">
      <c r="B7" s="2" t="s">
        <v>844</v>
      </c>
    </row>
    <row r="9" spans="2:12" x14ac:dyDescent="0.25">
      <c r="B9" s="3" t="s">
        <v>359</v>
      </c>
      <c r="C9" s="4"/>
      <c r="D9" s="4"/>
      <c r="E9" s="4"/>
      <c r="F9" s="4"/>
      <c r="G9" s="4"/>
      <c r="H9" s="4"/>
      <c r="I9" s="4"/>
      <c r="J9" s="4"/>
      <c r="K9" s="4"/>
      <c r="L9" s="4"/>
    </row>
    <row r="10" spans="2:2" x14ac:dyDescent="0.25">
      <c r="B10" s="2" t="s">
        <v>845</v>
      </c>
    </row>
    <row r="12" spans="2:12" x14ac:dyDescent="0.25">
      <c r="B12" s="3" t="s">
        <v>52</v>
      </c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2:2" x14ac:dyDescent="0.25">
      <c r="B13" s="2" t="s">
        <v>846</v>
      </c>
    </row>
    <row r="15" spans="2:12" x14ac:dyDescent="0.25">
      <c r="B15" s="3" t="s">
        <v>847</v>
      </c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2:2" x14ac:dyDescent="0.25">
      <c r="B16" s="2" t="s">
        <v>387</v>
      </c>
    </row>
  </sheetData>
  <pageMargins left="0.4" right="0.4" top="0.5" bottom="0.6" header="0.3" footer="0.3"/>
  <pageSetup paperSize="9" orientation="landscape" fitToWidth="1" fitToHeight="0"/>
  <headerFooter>
    <oddFooter>&amp;CMOPCO | Comps Precedents SOTP |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34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2" customWidth="1"/>
    <col min="3" max="3" width="11" customWidth="1"/>
    <col min="4" max="10" width="17" customWidth="1"/>
    <col min="11" max="11" width="70" customWidth="1"/>
  </cols>
  <sheetData>
    <row r="2" spans="2:2" x14ac:dyDescent="0.25">
      <c r="B2" s="1" t="s">
        <v>848</v>
      </c>
    </row>
    <row r="3" spans="2:2" x14ac:dyDescent="0.25">
      <c r="B3" s="2" t="s">
        <v>849</v>
      </c>
    </row>
    <row r="4" spans="2:2" x14ac:dyDescent="0.25">
      <c r="B4" s="2" t="s">
        <v>2</v>
      </c>
    </row>
    <row r="6" spans="2:11" x14ac:dyDescent="0.25">
      <c r="B6" s="3" t="s">
        <v>850</v>
      </c>
      <c r="C6" s="4"/>
      <c r="D6" s="4"/>
      <c r="E6" s="4"/>
      <c r="F6" s="4"/>
      <c r="G6" s="4"/>
      <c r="H6" s="4"/>
      <c r="I6" s="4"/>
      <c r="J6" s="4"/>
      <c r="K6" s="4"/>
    </row>
    <row r="7" spans="2:11" x14ac:dyDescent="0.25">
      <c r="B7" s="4"/>
      <c r="C7" s="3" t="s">
        <v>4</v>
      </c>
      <c r="D7" s="5" t="s">
        <v>321</v>
      </c>
      <c r="E7" s="5" t="s">
        <v>322</v>
      </c>
      <c r="F7" s="5" t="s">
        <v>323</v>
      </c>
      <c r="G7" s="4"/>
      <c r="H7" s="4"/>
      <c r="I7" s="4"/>
      <c r="J7" s="4"/>
      <c r="K7" s="3" t="s">
        <v>6</v>
      </c>
    </row>
    <row r="8" spans="2:6" x14ac:dyDescent="0.25">
      <c r="B8" s="2" t="s">
        <v>324</v>
      </c>
      <c r="C8" s="2" t="s">
        <v>54</v>
      </c>
      <c r="D8" s="11">
        <f>Inputs!$D$209</f>
      </c>
      <c r="E8" s="11">
        <f>Inputs!$E$209</f>
      </c>
      <c r="F8" s="11">
        <f>Inputs!$F$209</f>
      </c>
    </row>
    <row r="9" spans="2:6" x14ac:dyDescent="0.25">
      <c r="B9" s="2" t="s">
        <v>851</v>
      </c>
      <c r="C9" s="2" t="s">
        <v>326</v>
      </c>
      <c r="D9" s="11">
        <f>Inputs!$D$210</f>
      </c>
      <c r="E9" s="11">
        <f>Inputs!$E$210</f>
      </c>
      <c r="F9" s="11">
        <f>Inputs!$F$210</f>
      </c>
    </row>
    <row r="10" spans="2:6" x14ac:dyDescent="0.25">
      <c r="B10" s="2" t="s">
        <v>852</v>
      </c>
      <c r="C10" s="2" t="s">
        <v>326</v>
      </c>
      <c r="D10" s="11">
        <f>Inputs!$D$211</f>
      </c>
      <c r="E10" s="11">
        <f>Inputs!$E$211</f>
      </c>
      <c r="F10" s="11">
        <f>Inputs!$F$211</f>
      </c>
    </row>
    <row r="11" spans="2:6" x14ac:dyDescent="0.25">
      <c r="B11" s="2" t="s">
        <v>328</v>
      </c>
      <c r="C11" s="2" t="s">
        <v>326</v>
      </c>
      <c r="D11" s="11">
        <f>Inputs!$D$212</f>
      </c>
      <c r="E11" s="11">
        <f>Inputs!$E$212</f>
      </c>
      <c r="F11" s="11">
        <f>Inputs!$F$212</f>
      </c>
    </row>
    <row r="12" spans="2:6" x14ac:dyDescent="0.25">
      <c r="B12" s="2" t="s">
        <v>329</v>
      </c>
      <c r="C12" s="2" t="s">
        <v>326</v>
      </c>
      <c r="D12" s="11">
        <f>Inputs!$D$213</f>
      </c>
      <c r="E12" s="11">
        <f>Inputs!$E$213</f>
      </c>
      <c r="F12" s="11">
        <f>Inputs!$F$213</f>
      </c>
    </row>
    <row r="13" spans="2:6" x14ac:dyDescent="0.25">
      <c r="B13" s="2" t="s">
        <v>853</v>
      </c>
      <c r="C13" s="2" t="s">
        <v>54</v>
      </c>
      <c r="D13" s="15">
        <f>Scenarios!$D$27</f>
      </c>
      <c r="E13" s="15">
        <f>Scenarios!$D$64</f>
      </c>
      <c r="F13" s="15">
        <f>Scenarios!$D$101</f>
      </c>
    </row>
    <row r="14" spans="2:6" x14ac:dyDescent="0.25">
      <c r="B14" s="2" t="s">
        <v>854</v>
      </c>
      <c r="C14" s="2" t="s">
        <v>54</v>
      </c>
      <c r="D14" s="15">
        <f>Scenarios!$D$28</f>
      </c>
      <c r="E14" s="15">
        <f>Scenarios!$D$65</f>
      </c>
      <c r="F14" s="15">
        <f>Scenarios!$D$102</f>
      </c>
    </row>
    <row r="15" spans="2:6" x14ac:dyDescent="0.25">
      <c r="B15" s="2" t="s">
        <v>396</v>
      </c>
      <c r="C15" s="2" t="s">
        <v>14</v>
      </c>
      <c r="D15" s="20">
        <f>Scenarios!$D$58</f>
      </c>
      <c r="E15" s="20">
        <f>Scenarios!$D$95</f>
      </c>
      <c r="F15" s="20">
        <f>Scenarios!$D$132</f>
      </c>
    </row>
    <row r="16" spans="2:6" x14ac:dyDescent="0.25">
      <c r="B16" s="2" t="s">
        <v>397</v>
      </c>
      <c r="C16" s="2" t="s">
        <v>14</v>
      </c>
      <c r="D16" s="20">
        <f>Scenarios!$D$59</f>
      </c>
      <c r="E16" s="20">
        <f>Scenarios!$D$96</f>
      </c>
      <c r="F16" s="20">
        <f>Scenarios!$D$133</f>
      </c>
    </row>
    <row r="17" spans="2:6" x14ac:dyDescent="0.25">
      <c r="B17" s="9" t="s">
        <v>44</v>
      </c>
      <c r="C17" s="2" t="s">
        <v>14</v>
      </c>
      <c r="D17" s="40">
        <f>Scenarios!$D$60</f>
      </c>
      <c r="E17" s="40">
        <f>Scenarios!$D$97</f>
      </c>
      <c r="F17" s="40">
        <f>Scenarios!$D$134</f>
      </c>
    </row>
    <row r="18" spans="2:6" x14ac:dyDescent="0.25">
      <c r="B18" s="2" t="s">
        <v>779</v>
      </c>
      <c r="C18" s="2" t="s">
        <v>54</v>
      </c>
      <c r="D18" s="11">
        <f>IFERROR(Scenarios!$D$60/Inputs!$D$11-1,"n/a")</f>
      </c>
      <c r="E18" s="11">
        <f>IFERROR(Scenarios!$D$97/Inputs!$D$11-1,"n/a")</f>
      </c>
      <c r="F18" s="11">
        <f>IFERROR(Scenarios!$D$134/Inputs!$D$11-1,"n/a")</f>
      </c>
    </row>
    <row r="19" spans="2:4" x14ac:dyDescent="0.25">
      <c r="B19" s="2" t="s">
        <v>855</v>
      </c>
      <c r="C19" s="2" t="s">
        <v>54</v>
      </c>
      <c r="D19" s="11">
        <f>SUM($D$8:$F$8)</f>
      </c>
    </row>
    <row r="20" spans="2:4" x14ac:dyDescent="0.25">
      <c r="B20" s="9" t="s">
        <v>856</v>
      </c>
      <c r="C20" s="2" t="s">
        <v>14</v>
      </c>
      <c r="D20" s="12">
        <f>SUMPRODUCT($D$8:$F$8,$D$17:$F$17)</f>
      </c>
    </row>
    <row r="25" spans="2:11" x14ac:dyDescent="0.25">
      <c r="B25" s="3" t="s">
        <v>857</v>
      </c>
      <c r="C25" s="4"/>
      <c r="D25" s="4"/>
      <c r="E25" s="4"/>
      <c r="F25" s="4"/>
      <c r="G25" s="4"/>
      <c r="H25" s="4"/>
      <c r="I25" s="4"/>
      <c r="J25" s="4"/>
      <c r="K25" s="4"/>
    </row>
    <row r="26" spans="2:11" x14ac:dyDescent="0.25">
      <c r="B26" s="4"/>
      <c r="C26" s="3" t="s">
        <v>432</v>
      </c>
      <c r="D26" s="5" t="s">
        <v>108</v>
      </c>
      <c r="E26" s="5" t="s">
        <v>281</v>
      </c>
      <c r="F26" s="5" t="s">
        <v>282</v>
      </c>
      <c r="G26" s="5" t="s">
        <v>283</v>
      </c>
      <c r="H26" s="5" t="s">
        <v>284</v>
      </c>
      <c r="I26" s="5" t="s">
        <v>285</v>
      </c>
      <c r="J26" s="5" t="s">
        <v>286</v>
      </c>
      <c r="K26" s="3" t="s">
        <v>6</v>
      </c>
    </row>
    <row r="27" spans="2:4" x14ac:dyDescent="0.25">
      <c r="B27" s="2" t="s">
        <v>858</v>
      </c>
      <c r="C27" s="2" t="s">
        <v>54</v>
      </c>
      <c r="D27" s="15">
        <f>WACC!$D$54+Inputs!$D$212</f>
      </c>
    </row>
    <row r="28" spans="2:4" x14ac:dyDescent="0.25">
      <c r="B28" s="2" t="s">
        <v>859</v>
      </c>
      <c r="C28" s="2" t="s">
        <v>54</v>
      </c>
      <c r="D28" s="15">
        <f>Inputs!$D$172+Inputs!$D$213</f>
      </c>
    </row>
    <row r="29" spans="2:10" x14ac:dyDescent="0.25">
      <c r="B29" s="9" t="s">
        <v>860</v>
      </c>
      <c r="C29" s="2" t="s">
        <v>14</v>
      </c>
      <c r="D29" s="35">
        <f>Inputs!$E$23</f>
      </c>
      <c r="E29" s="35">
        <f>$D$29*(1+(Inputs!$D$182+Inputs!$D$210))</f>
      </c>
      <c r="F29" s="35">
        <f>$E$29*(1+(Inputs!$E$182+Inputs!$D$210))</f>
      </c>
      <c r="G29" s="35">
        <f>$F$29*(1+(Inputs!$F$182+Inputs!$D$210))</f>
      </c>
      <c r="H29" s="35">
        <f>$G$29*(1+(Inputs!$G$182+Inputs!$D$210))</f>
      </c>
      <c r="I29" s="35">
        <f>$H$29*(1+(Inputs!$H$182+Inputs!$D$210))</f>
      </c>
      <c r="J29" s="35">
        <f>$I$29*(1+(Inputs!$D$172+Inputs!$D$213))</f>
      </c>
    </row>
    <row r="30" spans="2:10" x14ac:dyDescent="0.25">
      <c r="B30" s="2" t="s">
        <v>861</v>
      </c>
      <c r="C30" s="2" t="s">
        <v>14</v>
      </c>
      <c r="D30" s="20">
        <f>$D$29*((Inputs!$E$26+Inputs!$E$51+Inputs!$E$52)/$D$29)</f>
      </c>
      <c r="E30" s="20">
        <f>$E$29*(Inputs!$D$183+Inputs!$D$211)</f>
      </c>
      <c r="F30" s="20">
        <f>$F$29*(Inputs!$E$183+Inputs!$D$211)</f>
      </c>
      <c r="G30" s="20">
        <f>$G$29*(Inputs!$F$183+Inputs!$D$211)</f>
      </c>
      <c r="H30" s="20">
        <f>$H$29*(Inputs!$G$183+Inputs!$D$211)</f>
      </c>
      <c r="I30" s="20">
        <f>$I$29*(Inputs!$H$183+Inputs!$D$211)</f>
      </c>
      <c r="J30" s="20">
        <f>$J$29*(Inputs!$I$183+Inputs!$D$211)</f>
      </c>
    </row>
    <row r="31" spans="2:10" x14ac:dyDescent="0.25">
      <c r="B31" s="2" t="s">
        <v>862</v>
      </c>
      <c r="C31" s="2" t="s">
        <v>14</v>
      </c>
      <c r="D31" s="20">
        <f>-(Inputs!$E$29+Inputs!$E$30)</f>
      </c>
      <c r="E31" s="20">
        <f>$E$29*Inputs!$D$184</f>
      </c>
      <c r="F31" s="20">
        <f>$F$29*Inputs!$E$184</f>
      </c>
      <c r="G31" s="20">
        <f>$G$29*Inputs!$F$184</f>
      </c>
      <c r="H31" s="20">
        <f>$H$29*Inputs!$G$184</f>
      </c>
      <c r="I31" s="20">
        <f>$I$29*Inputs!$H$184</f>
      </c>
      <c r="J31" s="20">
        <f>$J$29*Inputs!$I$184</f>
      </c>
    </row>
    <row r="32" spans="2:10" x14ac:dyDescent="0.25">
      <c r="B32" s="2" t="s">
        <v>863</v>
      </c>
      <c r="C32" s="2" t="s">
        <v>14</v>
      </c>
      <c r="D32" s="20">
        <f>Normalization!$D$13-Inputs!$E$26-Inputs!$E$29-Inputs!$E$30</f>
      </c>
      <c r="E32" s="20">
        <f>$E$29*Inputs!$D$185</f>
      </c>
      <c r="F32" s="20">
        <f>$F$29*Inputs!$E$185</f>
      </c>
      <c r="G32" s="20">
        <f>$G$29*Inputs!$F$185</f>
      </c>
      <c r="H32" s="20">
        <f>$H$29*Inputs!$G$185</f>
      </c>
      <c r="I32" s="20">
        <f>$I$29*Inputs!$H$185</f>
      </c>
      <c r="J32" s="20">
        <f>$J$29*Inputs!$I$185</f>
      </c>
    </row>
    <row r="33" spans="2:10" x14ac:dyDescent="0.25">
      <c r="B33" s="9" t="s">
        <v>864</v>
      </c>
      <c r="C33" s="2" t="s">
        <v>14</v>
      </c>
      <c r="D33" s="34">
        <f>$D$30-$D$31+$D$32</f>
      </c>
      <c r="E33" s="34">
        <f>$E$30-$E$31+$E$32</f>
      </c>
      <c r="F33" s="34">
        <f>$F$30-$F$31+$F$32</f>
      </c>
      <c r="G33" s="34">
        <f>$G$30-$G$31+$G$32</f>
      </c>
      <c r="H33" s="34">
        <f>$H$30-$H$31+$H$32</f>
      </c>
      <c r="I33" s="34">
        <f>$I$30-$I$31+$I$32</f>
      </c>
      <c r="J33" s="34">
        <f>$J$30-$J$31+$J$32</f>
      </c>
    </row>
    <row r="34" spans="2:10" x14ac:dyDescent="0.25">
      <c r="B34" s="2" t="s">
        <v>865</v>
      </c>
      <c r="C34" s="2" t="s">
        <v>14</v>
      </c>
      <c r="E34" s="20">
        <f>Inputs!$E$57</f>
      </c>
      <c r="F34" s="20">
        <f>$E$39</f>
      </c>
      <c r="G34" s="20">
        <f>$F$39</f>
      </c>
      <c r="H34" s="20">
        <f>$G$39</f>
      </c>
      <c r="I34" s="20">
        <f>$H$39</f>
      </c>
      <c r="J34" s="20">
        <f>$I$39</f>
      </c>
    </row>
    <row r="35" spans="2:10" x14ac:dyDescent="0.25">
      <c r="B35" s="2" t="s">
        <v>866</v>
      </c>
      <c r="C35" s="2" t="s">
        <v>14</v>
      </c>
      <c r="D35" s="20">
        <f>Inputs!$E$51</f>
      </c>
      <c r="E35" s="20">
        <f>IF(Inputs!$D$180="ppe_rollforward",Inputs!$D$187*$E$34,$E$29*Inputs!$D$186)</f>
      </c>
      <c r="F35" s="20">
        <f>IF(Inputs!$D$180="ppe_rollforward",Inputs!$E$187*$F$34,$F$29*Inputs!$E$186)</f>
      </c>
      <c r="G35" s="20">
        <f>IF(Inputs!$D$180="ppe_rollforward",Inputs!$F$187*$G$34,$G$29*Inputs!$F$186)</f>
      </c>
      <c r="H35" s="20">
        <f>IF(Inputs!$D$180="ppe_rollforward",Inputs!$G$187*$H$34,$H$29*Inputs!$G$186)</f>
      </c>
      <c r="I35" s="20">
        <f>IF(Inputs!$D$180="ppe_rollforward",Inputs!$H$187*$I$34,$I$29*Inputs!$H$186)</f>
      </c>
      <c r="J35" s="20">
        <f>IF(Inputs!$D$180="ppe_rollforward",Inputs!$I$187*$J$34,$J$29*Inputs!$I$186)</f>
      </c>
    </row>
    <row r="36" spans="2:10" x14ac:dyDescent="0.25">
      <c r="B36" s="2" t="s">
        <v>867</v>
      </c>
      <c r="C36" s="2" t="s">
        <v>14</v>
      </c>
      <c r="D36" s="20">
        <f>Inputs!$E$52</f>
      </c>
      <c r="E36" s="20">
        <f>IF(Inputs!$D$180="ppe_rollforward",$E$29*Inputs!$D$188,0)</f>
      </c>
      <c r="F36" s="20">
        <f>IF(Inputs!$D$180="ppe_rollforward",$F$29*Inputs!$E$188,0)</f>
      </c>
      <c r="G36" s="20">
        <f>IF(Inputs!$D$180="ppe_rollforward",$G$29*Inputs!$F$188,0)</f>
      </c>
      <c r="H36" s="20">
        <f>IF(Inputs!$D$180="ppe_rollforward",$H$29*Inputs!$G$188,0)</f>
      </c>
      <c r="I36" s="20">
        <f>IF(Inputs!$D$180="ppe_rollforward",$I$29*Inputs!$H$188,0)</f>
      </c>
      <c r="J36" s="20">
        <f>IF(Inputs!$D$180="ppe_rollforward",$J$29*Inputs!$I$188,0)</f>
      </c>
    </row>
    <row r="37" spans="2:10" x14ac:dyDescent="0.25">
      <c r="B37" s="2" t="s">
        <v>868</v>
      </c>
      <c r="C37" s="2" t="s">
        <v>14</v>
      </c>
      <c r="D37" s="20">
        <f>$D$35+$D$36</f>
      </c>
      <c r="E37" s="20">
        <f>$E$35+$E$36</f>
      </c>
      <c r="F37" s="20">
        <f>$F$35+$F$36</f>
      </c>
      <c r="G37" s="20">
        <f>$G$35+$G$36</f>
      </c>
      <c r="H37" s="20">
        <f>$H$35+$H$36</f>
      </c>
      <c r="I37" s="20">
        <f>$I$35+$I$36</f>
      </c>
      <c r="J37" s="20">
        <f>$J$35+$J$36</f>
      </c>
    </row>
    <row r="38" spans="2:10" x14ac:dyDescent="0.25">
      <c r="B38" s="2" t="s">
        <v>869</v>
      </c>
      <c r="C38" s="2" t="s">
        <v>14</v>
      </c>
      <c r="D38" s="20">
        <f>-Inputs!$E$111</f>
      </c>
      <c r="E38" s="20">
        <f>IF(Inputs!$D$181="absolute",Inputs!$D$190,$E$29*Inputs!$D$189)</f>
      </c>
      <c r="F38" s="20">
        <f>IF(Inputs!$D$181="absolute",Inputs!$E$190,$F$29*Inputs!$E$189)</f>
      </c>
      <c r="G38" s="20">
        <f>IF(Inputs!$D$181="absolute",Inputs!$F$190,$G$29*Inputs!$F$189)</f>
      </c>
      <c r="H38" s="20">
        <f>IF(Inputs!$D$181="absolute",Inputs!$G$190,$H$29*Inputs!$G$189)</f>
      </c>
      <c r="I38" s="20">
        <f>IF(Inputs!$D$181="absolute",Inputs!$H$190,$I$29*Inputs!$H$189)</f>
      </c>
      <c r="J38" s="20">
        <f>$J$29*Inputs!$I$189</f>
      </c>
    </row>
    <row r="39" spans="2:10" x14ac:dyDescent="0.25">
      <c r="B39" s="2" t="s">
        <v>870</v>
      </c>
      <c r="C39" s="2" t="s">
        <v>14</v>
      </c>
      <c r="D39" s="20">
        <f>Inputs!$E$57</f>
      </c>
      <c r="E39" s="20">
        <f>$E$34+$E$38-$E$35</f>
      </c>
      <c r="F39" s="20">
        <f>$F$34+$F$38-$F$35</f>
      </c>
      <c r="G39" s="20">
        <f>$G$34+$G$38-$G$35</f>
      </c>
      <c r="H39" s="20">
        <f>$H$34+$H$38-$H$35</f>
      </c>
      <c r="I39" s="20">
        <f>$I$34+$I$38-$I$35</f>
      </c>
      <c r="J39" s="20">
        <f>$J$34+$J$38-$J$35</f>
      </c>
    </row>
    <row r="40" spans="2:10" x14ac:dyDescent="0.25">
      <c r="B40" s="9" t="s">
        <v>871</v>
      </c>
      <c r="C40" s="2" t="s">
        <v>14</v>
      </c>
      <c r="D40" s="35">
        <f>$D$33-$D$37</f>
      </c>
      <c r="E40" s="35">
        <f>$E$33-$E$37</f>
      </c>
      <c r="F40" s="35">
        <f>$F$33-$F$37</f>
      </c>
      <c r="G40" s="35">
        <f>$G$33-$G$37</f>
      </c>
      <c r="H40" s="35">
        <f>$H$33-$H$37</f>
      </c>
      <c r="I40" s="35">
        <f>$I$33-$I$37</f>
      </c>
      <c r="J40" s="35">
        <f>$J$33-$J$37</f>
      </c>
    </row>
    <row r="41" spans="2:10" x14ac:dyDescent="0.25">
      <c r="B41" s="2" t="s">
        <v>872</v>
      </c>
      <c r="C41" s="2" t="s">
        <v>54</v>
      </c>
      <c r="D41" s="11">
        <f>Inputs!$D$133</f>
      </c>
      <c r="E41" s="11">
        <f>Inputs!$D$196</f>
      </c>
      <c r="F41" s="11">
        <f>Inputs!$E$196</f>
      </c>
      <c r="G41" s="11">
        <f>Inputs!$F$196</f>
      </c>
      <c r="H41" s="11">
        <f>Inputs!$G$196</f>
      </c>
      <c r="I41" s="11">
        <f>Inputs!$H$196</f>
      </c>
      <c r="J41" s="11">
        <f>Inputs!$I$196</f>
      </c>
    </row>
    <row r="42" spans="2:10" x14ac:dyDescent="0.25">
      <c r="B42" s="2" t="s">
        <v>873</v>
      </c>
      <c r="C42" s="2" t="s">
        <v>14</v>
      </c>
      <c r="D42" s="20">
        <f>$D$40*$D$41</f>
      </c>
      <c r="E42" s="20">
        <f>$E$40*$E$41</f>
      </c>
      <c r="F42" s="20">
        <f>$F$40*$F$41</f>
      </c>
      <c r="G42" s="20">
        <f>$G$40*$G$41</f>
      </c>
      <c r="H42" s="20">
        <f>$H$40*$H$41</f>
      </c>
      <c r="I42" s="20">
        <f>$I$40*$I$41</f>
      </c>
      <c r="J42" s="20">
        <f>$J$40*$J$41</f>
      </c>
    </row>
    <row r="43" spans="2:10" x14ac:dyDescent="0.25">
      <c r="B43" s="2" t="s">
        <v>874</v>
      </c>
      <c r="C43" s="2" t="s">
        <v>14</v>
      </c>
      <c r="D43" s="33">
        <f>$D$40-$D$42</f>
      </c>
      <c r="E43" s="33">
        <f>$E$40-$E$42</f>
      </c>
      <c r="F43" s="33">
        <f>$F$40-$F$42</f>
      </c>
      <c r="G43" s="33">
        <f>$G$40-$G$42</f>
      </c>
      <c r="H43" s="33">
        <f>$H$40-$H$42</f>
      </c>
      <c r="I43" s="33">
        <f>$I$40-$I$42</f>
      </c>
      <c r="J43" s="33">
        <f>$J$40-$J$42</f>
      </c>
    </row>
    <row r="44" spans="2:10" x14ac:dyDescent="0.25">
      <c r="B44" s="2" t="s">
        <v>875</v>
      </c>
      <c r="C44" s="2" t="s">
        <v>14</v>
      </c>
      <c r="D44" s="20">
        <f>$D$29*(1-((Inputs!$E$26+Inputs!$E$51+Inputs!$E$52)/$D$29))</f>
      </c>
      <c r="E44" s="20">
        <f>$E$29*(1-(Inputs!$D$183+Inputs!$D$211))</f>
      </c>
      <c r="F44" s="20">
        <f>$F$29*(1-(Inputs!$E$183+Inputs!$D$211))</f>
      </c>
      <c r="G44" s="20">
        <f>$G$29*(1-(Inputs!$F$183+Inputs!$D$211))</f>
      </c>
      <c r="H44" s="20">
        <f>$H$29*(1-(Inputs!$G$183+Inputs!$D$211))</f>
      </c>
      <c r="I44" s="20">
        <f>$I$29*(1-(Inputs!$H$183+Inputs!$D$211))</f>
      </c>
      <c r="J44" s="20">
        <f>$J$29*(1-(Inputs!$I$183+Inputs!$D$211))</f>
      </c>
    </row>
    <row r="45" spans="2:10" x14ac:dyDescent="0.25">
      <c r="B45" s="2" t="s">
        <v>876</v>
      </c>
      <c r="C45" s="2" t="s">
        <v>14</v>
      </c>
      <c r="D45" s="20">
        <f>Inputs!$E$67</f>
      </c>
      <c r="E45" s="20">
        <f>$E$29*Inputs!$D$191/Inputs!$D$18</f>
      </c>
      <c r="F45" s="20">
        <f>$F$29*Inputs!$E$191/Inputs!$D$18</f>
      </c>
      <c r="G45" s="20">
        <f>$G$29*Inputs!$F$191/Inputs!$D$18</f>
      </c>
      <c r="H45" s="20">
        <f>$H$29*Inputs!$G$191/Inputs!$D$18</f>
      </c>
      <c r="I45" s="20">
        <f>$I$29*Inputs!$H$191/Inputs!$D$18</f>
      </c>
      <c r="J45" s="20">
        <f>$J$29*Inputs!$I$191/Inputs!$D$18</f>
      </c>
    </row>
    <row r="46" spans="2:10" x14ac:dyDescent="0.25">
      <c r="B46" s="2" t="s">
        <v>877</v>
      </c>
      <c r="C46" s="2" t="s">
        <v>14</v>
      </c>
      <c r="D46" s="20">
        <f>Inputs!$E$66</f>
      </c>
      <c r="E46" s="20">
        <f>$E$44*Inputs!$D$192/Inputs!$D$18</f>
      </c>
      <c r="F46" s="20">
        <f>$F$44*Inputs!$E$192/Inputs!$D$18</f>
      </c>
      <c r="G46" s="20">
        <f>$G$44*Inputs!$F$192/Inputs!$D$18</f>
      </c>
      <c r="H46" s="20">
        <f>$H$44*Inputs!$G$192/Inputs!$D$18</f>
      </c>
      <c r="I46" s="20">
        <f>$I$44*Inputs!$H$192/Inputs!$D$18</f>
      </c>
      <c r="J46" s="20">
        <f>$J$44*Inputs!$I$192/Inputs!$D$18</f>
      </c>
    </row>
    <row r="47" spans="2:10" x14ac:dyDescent="0.25">
      <c r="B47" s="2" t="s">
        <v>878</v>
      </c>
      <c r="C47" s="2" t="s">
        <v>14</v>
      </c>
      <c r="D47" s="20">
        <f>Inputs!$E$93</f>
      </c>
      <c r="E47" s="20">
        <f>$E$44*Inputs!$D$193/Inputs!$D$18</f>
      </c>
      <c r="F47" s="20">
        <f>$F$44*Inputs!$E$193/Inputs!$D$18</f>
      </c>
      <c r="G47" s="20">
        <f>$G$44*Inputs!$F$193/Inputs!$D$18</f>
      </c>
      <c r="H47" s="20">
        <f>$H$44*Inputs!$G$193/Inputs!$D$18</f>
      </c>
      <c r="I47" s="20">
        <f>$I$44*Inputs!$H$193/Inputs!$D$18</f>
      </c>
      <c r="J47" s="20">
        <f>$J$44*Inputs!$I$193/Inputs!$D$18</f>
      </c>
    </row>
    <row r="48" spans="2:10" x14ac:dyDescent="0.25">
      <c r="B48" s="2" t="s">
        <v>879</v>
      </c>
      <c r="C48" s="2" t="s">
        <v>14</v>
      </c>
      <c r="D48" s="20">
        <f>Inputs!$E$70+Inputs!$E$72+Inputs!$E$71</f>
      </c>
      <c r="E48" s="20">
        <f>$E$29*Inputs!$D$194</f>
      </c>
      <c r="F48" s="20">
        <f>$F$29*Inputs!$E$194</f>
      </c>
      <c r="G48" s="20">
        <f>$G$29*Inputs!$F$194</f>
      </c>
      <c r="H48" s="20">
        <f>$H$29*Inputs!$G$194</f>
      </c>
      <c r="I48" s="20">
        <f>$I$29*Inputs!$H$194</f>
      </c>
      <c r="J48" s="20">
        <f>$J$29*Inputs!$I$194</f>
      </c>
    </row>
    <row r="49" spans="2:10" x14ac:dyDescent="0.25">
      <c r="B49" s="2" t="s">
        <v>880</v>
      </c>
      <c r="C49" s="2" t="s">
        <v>14</v>
      </c>
      <c r="D49" s="20">
        <f>Inputs!$E$94+Inputs!$E$95+Inputs!$E$97+Inputs!$E$98+Inputs!$E$99</f>
      </c>
      <c r="E49" s="20">
        <f>$E$29*Inputs!$D$195</f>
      </c>
      <c r="F49" s="20">
        <f>$F$29*Inputs!$E$195</f>
      </c>
      <c r="G49" s="20">
        <f>$G$29*Inputs!$F$195</f>
      </c>
      <c r="H49" s="20">
        <f>$H$29*Inputs!$G$195</f>
      </c>
      <c r="I49" s="20">
        <f>$I$29*Inputs!$H$195</f>
      </c>
      <c r="J49" s="20">
        <f>$J$29*Inputs!$I$195</f>
      </c>
    </row>
    <row r="50" spans="2:10" x14ac:dyDescent="0.25">
      <c r="B50" s="2" t="s">
        <v>881</v>
      </c>
      <c r="C50" s="2" t="s">
        <v>14</v>
      </c>
      <c r="D50" s="33">
        <f>$D$45+$D$46+$D$48-$D$47-$D$49</f>
      </c>
      <c r="E50" s="33">
        <f>$E$45+$E$46+$E$48-$E$47-$E$49</f>
      </c>
      <c r="F50" s="33">
        <f>$F$45+$F$46+$F$48-$F$47-$F$49</f>
      </c>
      <c r="G50" s="33">
        <f>$G$45+$G$46+$G$48-$G$47-$G$49</f>
      </c>
      <c r="H50" s="33">
        <f>$H$45+$H$46+$H$48-$H$47-$H$49</f>
      </c>
      <c r="I50" s="33">
        <f>$I$45+$I$46+$I$48-$I$47-$I$49</f>
      </c>
      <c r="J50" s="33">
        <f>$J$45+$J$46+$J$48-$J$47-$J$49</f>
      </c>
    </row>
    <row r="51" spans="2:10" x14ac:dyDescent="0.25">
      <c r="B51" s="2" t="s">
        <v>882</v>
      </c>
      <c r="C51" s="2" t="s">
        <v>14</v>
      </c>
      <c r="E51" s="20">
        <f>$E$50-$D$50</f>
      </c>
      <c r="F51" s="20">
        <f>$F$50-$E$50</f>
      </c>
      <c r="G51" s="20">
        <f>$G$50-$F$50</f>
      </c>
      <c r="H51" s="20">
        <f>$H$50-$G$50</f>
      </c>
      <c r="I51" s="20">
        <f>$I$50-$H$50</f>
      </c>
      <c r="J51" s="20">
        <f>$J$50-$I$50</f>
      </c>
    </row>
    <row r="52" spans="2:10" x14ac:dyDescent="0.25">
      <c r="B52" s="2" t="s">
        <v>883</v>
      </c>
      <c r="C52" s="2" t="s">
        <v>14</v>
      </c>
      <c r="D52" s="20">
        <f>Inputs!$E$49</f>
      </c>
      <c r="E52" s="20">
        <f>$E$43+Inputs!$D$202*(1-$E$41)</f>
      </c>
      <c r="F52" s="20">
        <f>$F$43+Inputs!$D$202*(1-$F$41)</f>
      </c>
      <c r="G52" s="20">
        <f>$G$43+Inputs!$D$202*(1-$G$41)</f>
      </c>
      <c r="H52" s="20">
        <f>$H$43+Inputs!$D$202*(1-$H$41)</f>
      </c>
      <c r="I52" s="20">
        <f>$I$43+Inputs!$D$202*(1-$I$41)</f>
      </c>
      <c r="J52" s="20">
        <f>$J$43+Inputs!$D$202*(1-$J$41)</f>
      </c>
    </row>
    <row r="53" spans="2:10" x14ac:dyDescent="0.25">
      <c r="B53" s="2" t="s">
        <v>884</v>
      </c>
      <c r="C53" s="2" t="s">
        <v>14</v>
      </c>
      <c r="E53" s="20">
        <f>IF(Inputs!$D$200=1,Inputs!$D$201*$D$52,0)</f>
      </c>
      <c r="F53" s="20">
        <f>IF(Inputs!$D$200=1,Inputs!$D$201*$E$52,0)</f>
      </c>
      <c r="G53" s="20">
        <f>IF(Inputs!$D$200=1,Inputs!$D$201*$F$52,0)</f>
      </c>
      <c r="H53" s="20">
        <f>IF(Inputs!$D$200=1,Inputs!$D$201*$G$52,0)</f>
      </c>
      <c r="I53" s="20">
        <f>IF(Inputs!$D$200=1,Inputs!$D$201*$H$52,0)</f>
      </c>
      <c r="J53" s="20">
        <f>IF(Inputs!$D$200=1,Inputs!$D$201*$I$52,0)</f>
      </c>
    </row>
    <row r="54" spans="2:10" x14ac:dyDescent="0.25">
      <c r="B54" s="9" t="s">
        <v>885</v>
      </c>
      <c r="C54" s="2" t="s">
        <v>14</v>
      </c>
      <c r="E54" s="34">
        <f>$E$43+$E$37-$E$38-$E$51-$E$53</f>
      </c>
      <c r="F54" s="34">
        <f>$F$43+$F$37-$F$38-$F$51-$F$53</f>
      </c>
      <c r="G54" s="34">
        <f>$G$43+$G$37-$G$38-$G$51-$G$53</f>
      </c>
      <c r="H54" s="34">
        <f>$H$43+$H$37-$H$38-$H$51-$H$53</f>
      </c>
      <c r="I54" s="34">
        <f>$I$43+$I$37-$I$38-$I$51-$I$53</f>
      </c>
      <c r="J54" s="34">
        <f>$J$43+$J$37-$J$38-$J$51-$J$53</f>
      </c>
    </row>
    <row r="55" spans="2:9" x14ac:dyDescent="0.25">
      <c r="B55" s="2" t="s">
        <v>886</v>
      </c>
      <c r="C55" s="2" t="s">
        <v>14</v>
      </c>
      <c r="E55" s="20">
        <f>$E$54*DCF!$D$10*(1+$D$27)^(-DCF!$D$12)</f>
      </c>
      <c r="F55" s="20">
        <f>$F$54*DCF!$E$10*(1+$D$27)^(-DCF!$E$12)</f>
      </c>
      <c r="G55" s="20">
        <f>$G$54*DCF!$F$10*(1+$D$27)^(-DCF!$F$12)</f>
      </c>
      <c r="H55" s="20">
        <f>$H$54*DCF!$G$10*(1+$D$27)^(-DCF!$G$12)</f>
      </c>
      <c r="I55" s="20">
        <f>$I$54*DCF!$H$10*(1+$D$27)^(-DCF!$H$12)</f>
      </c>
    </row>
    <row r="56" spans="2:4" x14ac:dyDescent="0.25">
      <c r="B56" s="2" t="s">
        <v>887</v>
      </c>
      <c r="C56" s="2" t="s">
        <v>14</v>
      </c>
      <c r="D56" s="20">
        <f>SUM($E$55:$I$55)</f>
      </c>
    </row>
    <row r="57" spans="2:4" x14ac:dyDescent="0.25">
      <c r="B57" s="2" t="s">
        <v>888</v>
      </c>
      <c r="C57" s="2" t="s">
        <v>14</v>
      </c>
      <c r="D57" s="20">
        <f>IF(Inputs!$D$171="gordon",IF($D$28&lt;$D$27,$J$54/($D$27-$D$28),"n/a"),$I$33*Inputs!$D$173)</f>
      </c>
    </row>
    <row r="58" spans="2:4" x14ac:dyDescent="0.25">
      <c r="B58" s="2" t="s">
        <v>889</v>
      </c>
      <c r="C58" s="2" t="s">
        <v>14</v>
      </c>
      <c r="D58" s="33">
        <f>IFERROR($D$56+$D$57*(1+$D$27)^(-DCF!$D$21),"n/a")</f>
      </c>
    </row>
    <row r="59" spans="2:4" x14ac:dyDescent="0.25">
      <c r="B59" s="2" t="s">
        <v>890</v>
      </c>
      <c r="C59" s="2" t="s">
        <v>14</v>
      </c>
      <c r="D59" s="20">
        <f>IFERROR($D$58+DCF!$D$51,"n/a")</f>
      </c>
    </row>
    <row r="60" spans="2:4" x14ac:dyDescent="0.25">
      <c r="B60" s="9" t="s">
        <v>891</v>
      </c>
      <c r="C60" s="2" t="s">
        <v>14</v>
      </c>
      <c r="D60" s="40">
        <f>IFERROR($D$59/Inputs!$D$15,"n/a")</f>
      </c>
    </row>
    <row r="62" spans="2:11" x14ac:dyDescent="0.25">
      <c r="B62" s="3" t="s">
        <v>892</v>
      </c>
      <c r="C62" s="4"/>
      <c r="D62" s="4"/>
      <c r="E62" s="4"/>
      <c r="F62" s="4"/>
      <c r="G62" s="4"/>
      <c r="H62" s="4"/>
      <c r="I62" s="4"/>
      <c r="J62" s="4"/>
      <c r="K62" s="4"/>
    </row>
    <row r="63" spans="2:11" x14ac:dyDescent="0.25">
      <c r="B63" s="4"/>
      <c r="C63" s="3" t="s">
        <v>432</v>
      </c>
      <c r="D63" s="5" t="s">
        <v>108</v>
      </c>
      <c r="E63" s="5" t="s">
        <v>281</v>
      </c>
      <c r="F63" s="5" t="s">
        <v>282</v>
      </c>
      <c r="G63" s="5" t="s">
        <v>283</v>
      </c>
      <c r="H63" s="5" t="s">
        <v>284</v>
      </c>
      <c r="I63" s="5" t="s">
        <v>285</v>
      </c>
      <c r="J63" s="5" t="s">
        <v>286</v>
      </c>
      <c r="K63" s="3" t="s">
        <v>6</v>
      </c>
    </row>
    <row r="64" spans="2:4" x14ac:dyDescent="0.25">
      <c r="B64" s="2" t="s">
        <v>893</v>
      </c>
      <c r="C64" s="2" t="s">
        <v>54</v>
      </c>
      <c r="D64" s="15">
        <f>WACC!$D$54+Inputs!$E$212</f>
      </c>
    </row>
    <row r="65" spans="2:4" x14ac:dyDescent="0.25">
      <c r="B65" s="2" t="s">
        <v>894</v>
      </c>
      <c r="C65" s="2" t="s">
        <v>54</v>
      </c>
      <c r="D65" s="15">
        <f>Inputs!$D$172+Inputs!$E$213</f>
      </c>
    </row>
    <row r="66" spans="2:10" x14ac:dyDescent="0.25">
      <c r="B66" s="9" t="s">
        <v>895</v>
      </c>
      <c r="C66" s="2" t="s">
        <v>14</v>
      </c>
      <c r="D66" s="35">
        <f>Inputs!$E$23</f>
      </c>
      <c r="E66" s="35">
        <f>$D$66*(1+(Inputs!$D$182+Inputs!$E$210))</f>
      </c>
      <c r="F66" s="35">
        <f>$E$66*(1+(Inputs!$E$182+Inputs!$E$210))</f>
      </c>
      <c r="G66" s="35">
        <f>$F$66*(1+(Inputs!$F$182+Inputs!$E$210))</f>
      </c>
      <c r="H66" s="35">
        <f>$G$66*(1+(Inputs!$G$182+Inputs!$E$210))</f>
      </c>
      <c r="I66" s="35">
        <f>$H$66*(1+(Inputs!$H$182+Inputs!$E$210))</f>
      </c>
      <c r="J66" s="35">
        <f>$I$66*(1+(Inputs!$D$172+Inputs!$E$213))</f>
      </c>
    </row>
    <row r="67" spans="2:10" x14ac:dyDescent="0.25">
      <c r="B67" s="2" t="s">
        <v>896</v>
      </c>
      <c r="C67" s="2" t="s">
        <v>14</v>
      </c>
      <c r="D67" s="20">
        <f>$D$66*((Inputs!$E$26+Inputs!$E$51+Inputs!$E$52)/$D$66)</f>
      </c>
      <c r="E67" s="20">
        <f>$E$66*(Inputs!$D$183+Inputs!$E$211)</f>
      </c>
      <c r="F67" s="20">
        <f>$F$66*(Inputs!$E$183+Inputs!$E$211)</f>
      </c>
      <c r="G67" s="20">
        <f>$G$66*(Inputs!$F$183+Inputs!$E$211)</f>
      </c>
      <c r="H67" s="20">
        <f>$H$66*(Inputs!$G$183+Inputs!$E$211)</f>
      </c>
      <c r="I67" s="20">
        <f>$I$66*(Inputs!$H$183+Inputs!$E$211)</f>
      </c>
      <c r="J67" s="20">
        <f>$J$66*(Inputs!$I$183+Inputs!$E$211)</f>
      </c>
    </row>
    <row r="68" spans="2:10" x14ac:dyDescent="0.25">
      <c r="B68" s="2" t="s">
        <v>897</v>
      </c>
      <c r="C68" s="2" t="s">
        <v>14</v>
      </c>
      <c r="D68" s="20">
        <f>-(Inputs!$E$29+Inputs!$E$30)</f>
      </c>
      <c r="E68" s="20">
        <f>$E$66*Inputs!$D$184</f>
      </c>
      <c r="F68" s="20">
        <f>$F$66*Inputs!$E$184</f>
      </c>
      <c r="G68" s="20">
        <f>$G$66*Inputs!$F$184</f>
      </c>
      <c r="H68" s="20">
        <f>$H$66*Inputs!$G$184</f>
      </c>
      <c r="I68" s="20">
        <f>$I$66*Inputs!$H$184</f>
      </c>
      <c r="J68" s="20">
        <f>$J$66*Inputs!$I$184</f>
      </c>
    </row>
    <row r="69" spans="2:10" x14ac:dyDescent="0.25">
      <c r="B69" s="2" t="s">
        <v>898</v>
      </c>
      <c r="C69" s="2" t="s">
        <v>14</v>
      </c>
      <c r="D69" s="20">
        <f>Normalization!$D$13-Inputs!$E$26-Inputs!$E$29-Inputs!$E$30</f>
      </c>
      <c r="E69" s="20">
        <f>$E$66*Inputs!$D$185</f>
      </c>
      <c r="F69" s="20">
        <f>$F$66*Inputs!$E$185</f>
      </c>
      <c r="G69" s="20">
        <f>$G$66*Inputs!$F$185</f>
      </c>
      <c r="H69" s="20">
        <f>$H$66*Inputs!$G$185</f>
      </c>
      <c r="I69" s="20">
        <f>$I$66*Inputs!$H$185</f>
      </c>
      <c r="J69" s="20">
        <f>$J$66*Inputs!$I$185</f>
      </c>
    </row>
    <row r="70" spans="2:10" x14ac:dyDescent="0.25">
      <c r="B70" s="9" t="s">
        <v>899</v>
      </c>
      <c r="C70" s="2" t="s">
        <v>14</v>
      </c>
      <c r="D70" s="34">
        <f>$D$67-$D$68+$D$69</f>
      </c>
      <c r="E70" s="34">
        <f>$E$67-$E$68+$E$69</f>
      </c>
      <c r="F70" s="34">
        <f>$F$67-$F$68+$F$69</f>
      </c>
      <c r="G70" s="34">
        <f>$G$67-$G$68+$G$69</f>
      </c>
      <c r="H70" s="34">
        <f>$H$67-$H$68+$H$69</f>
      </c>
      <c r="I70" s="34">
        <f>$I$67-$I$68+$I$69</f>
      </c>
      <c r="J70" s="34">
        <f>$J$67-$J$68+$J$69</f>
      </c>
    </row>
    <row r="71" spans="2:10" x14ac:dyDescent="0.25">
      <c r="B71" s="2" t="s">
        <v>900</v>
      </c>
      <c r="C71" s="2" t="s">
        <v>14</v>
      </c>
      <c r="E71" s="20">
        <f>Inputs!$E$57</f>
      </c>
      <c r="F71" s="20">
        <f>$E$76</f>
      </c>
      <c r="G71" s="20">
        <f>$F$76</f>
      </c>
      <c r="H71" s="20">
        <f>$G$76</f>
      </c>
      <c r="I71" s="20">
        <f>$H$76</f>
      </c>
      <c r="J71" s="20">
        <f>$I$76</f>
      </c>
    </row>
    <row r="72" spans="2:10" x14ac:dyDescent="0.25">
      <c r="B72" s="2" t="s">
        <v>901</v>
      </c>
      <c r="C72" s="2" t="s">
        <v>14</v>
      </c>
      <c r="D72" s="20">
        <f>Inputs!$E$51</f>
      </c>
      <c r="E72" s="20">
        <f>IF(Inputs!$D$180="ppe_rollforward",Inputs!$D$187*$E$71,$E$66*Inputs!$D$186)</f>
      </c>
      <c r="F72" s="20">
        <f>IF(Inputs!$D$180="ppe_rollforward",Inputs!$E$187*$F$71,$F$66*Inputs!$E$186)</f>
      </c>
      <c r="G72" s="20">
        <f>IF(Inputs!$D$180="ppe_rollforward",Inputs!$F$187*$G$71,$G$66*Inputs!$F$186)</f>
      </c>
      <c r="H72" s="20">
        <f>IF(Inputs!$D$180="ppe_rollforward",Inputs!$G$187*$H$71,$H$66*Inputs!$G$186)</f>
      </c>
      <c r="I72" s="20">
        <f>IF(Inputs!$D$180="ppe_rollforward",Inputs!$H$187*$I$71,$I$66*Inputs!$H$186)</f>
      </c>
      <c r="J72" s="20">
        <f>IF(Inputs!$D$180="ppe_rollforward",Inputs!$I$187*$J$71,$J$66*Inputs!$I$186)</f>
      </c>
    </row>
    <row r="73" spans="2:10" x14ac:dyDescent="0.25">
      <c r="B73" s="2" t="s">
        <v>902</v>
      </c>
      <c r="C73" s="2" t="s">
        <v>14</v>
      </c>
      <c r="D73" s="20">
        <f>Inputs!$E$52</f>
      </c>
      <c r="E73" s="20">
        <f>IF(Inputs!$D$180="ppe_rollforward",$E$66*Inputs!$D$188,0)</f>
      </c>
      <c r="F73" s="20">
        <f>IF(Inputs!$D$180="ppe_rollforward",$F$66*Inputs!$E$188,0)</f>
      </c>
      <c r="G73" s="20">
        <f>IF(Inputs!$D$180="ppe_rollforward",$G$66*Inputs!$F$188,0)</f>
      </c>
      <c r="H73" s="20">
        <f>IF(Inputs!$D$180="ppe_rollforward",$H$66*Inputs!$G$188,0)</f>
      </c>
      <c r="I73" s="20">
        <f>IF(Inputs!$D$180="ppe_rollforward",$I$66*Inputs!$H$188,0)</f>
      </c>
      <c r="J73" s="20">
        <f>IF(Inputs!$D$180="ppe_rollforward",$J$66*Inputs!$I$188,0)</f>
      </c>
    </row>
    <row r="74" spans="2:10" x14ac:dyDescent="0.25">
      <c r="B74" s="2" t="s">
        <v>903</v>
      </c>
      <c r="C74" s="2" t="s">
        <v>14</v>
      </c>
      <c r="D74" s="20">
        <f>$D$72+$D$73</f>
      </c>
      <c r="E74" s="20">
        <f>$E$72+$E$73</f>
      </c>
      <c r="F74" s="20">
        <f>$F$72+$F$73</f>
      </c>
      <c r="G74" s="20">
        <f>$G$72+$G$73</f>
      </c>
      <c r="H74" s="20">
        <f>$H$72+$H$73</f>
      </c>
      <c r="I74" s="20">
        <f>$I$72+$I$73</f>
      </c>
      <c r="J74" s="20">
        <f>$J$72+$J$73</f>
      </c>
    </row>
    <row r="75" spans="2:10" x14ac:dyDescent="0.25">
      <c r="B75" s="2" t="s">
        <v>904</v>
      </c>
      <c r="C75" s="2" t="s">
        <v>14</v>
      </c>
      <c r="D75" s="20">
        <f>-Inputs!$E$111</f>
      </c>
      <c r="E75" s="20">
        <f>IF(Inputs!$D$181="absolute",Inputs!$D$190,$E$66*Inputs!$D$189)</f>
      </c>
      <c r="F75" s="20">
        <f>IF(Inputs!$D$181="absolute",Inputs!$E$190,$F$66*Inputs!$E$189)</f>
      </c>
      <c r="G75" s="20">
        <f>IF(Inputs!$D$181="absolute",Inputs!$F$190,$G$66*Inputs!$F$189)</f>
      </c>
      <c r="H75" s="20">
        <f>IF(Inputs!$D$181="absolute",Inputs!$G$190,$H$66*Inputs!$G$189)</f>
      </c>
      <c r="I75" s="20">
        <f>IF(Inputs!$D$181="absolute",Inputs!$H$190,$I$66*Inputs!$H$189)</f>
      </c>
      <c r="J75" s="20">
        <f>$J$66*Inputs!$I$189</f>
      </c>
    </row>
    <row r="76" spans="2:10" x14ac:dyDescent="0.25">
      <c r="B76" s="2" t="s">
        <v>905</v>
      </c>
      <c r="C76" s="2" t="s">
        <v>14</v>
      </c>
      <c r="D76" s="20">
        <f>Inputs!$E$57</f>
      </c>
      <c r="E76" s="20">
        <f>$E$71+$E$75-$E$72</f>
      </c>
      <c r="F76" s="20">
        <f>$F$71+$F$75-$F$72</f>
      </c>
      <c r="G76" s="20">
        <f>$G$71+$G$75-$G$72</f>
      </c>
      <c r="H76" s="20">
        <f>$H$71+$H$75-$H$72</f>
      </c>
      <c r="I76" s="20">
        <f>$I$71+$I$75-$I$72</f>
      </c>
      <c r="J76" s="20">
        <f>$J$71+$J$75-$J$72</f>
      </c>
    </row>
    <row r="77" spans="2:10" x14ac:dyDescent="0.25">
      <c r="B77" s="9" t="s">
        <v>906</v>
      </c>
      <c r="C77" s="2" t="s">
        <v>14</v>
      </c>
      <c r="D77" s="35">
        <f>$D$70-$D$74</f>
      </c>
      <c r="E77" s="35">
        <f>$E$70-$E$74</f>
      </c>
      <c r="F77" s="35">
        <f>$F$70-$F$74</f>
      </c>
      <c r="G77" s="35">
        <f>$G$70-$G$74</f>
      </c>
      <c r="H77" s="35">
        <f>$H$70-$H$74</f>
      </c>
      <c r="I77" s="35">
        <f>$I$70-$I$74</f>
      </c>
      <c r="J77" s="35">
        <f>$J$70-$J$74</f>
      </c>
    </row>
    <row r="78" spans="2:10" x14ac:dyDescent="0.25">
      <c r="B78" s="2" t="s">
        <v>907</v>
      </c>
      <c r="C78" s="2" t="s">
        <v>54</v>
      </c>
      <c r="D78" s="11">
        <f>Inputs!$D$133</f>
      </c>
      <c r="E78" s="11">
        <f>Inputs!$D$196</f>
      </c>
      <c r="F78" s="11">
        <f>Inputs!$E$196</f>
      </c>
      <c r="G78" s="11">
        <f>Inputs!$F$196</f>
      </c>
      <c r="H78" s="11">
        <f>Inputs!$G$196</f>
      </c>
      <c r="I78" s="11">
        <f>Inputs!$H$196</f>
      </c>
      <c r="J78" s="11">
        <f>Inputs!$I$196</f>
      </c>
    </row>
    <row r="79" spans="2:10" x14ac:dyDescent="0.25">
      <c r="B79" s="2" t="s">
        <v>908</v>
      </c>
      <c r="C79" s="2" t="s">
        <v>14</v>
      </c>
      <c r="D79" s="20">
        <f>$D$77*$D$78</f>
      </c>
      <c r="E79" s="20">
        <f>$E$77*$E$78</f>
      </c>
      <c r="F79" s="20">
        <f>$F$77*$F$78</f>
      </c>
      <c r="G79" s="20">
        <f>$G$77*$G$78</f>
      </c>
      <c r="H79" s="20">
        <f>$H$77*$H$78</f>
      </c>
      <c r="I79" s="20">
        <f>$I$77*$I$78</f>
      </c>
      <c r="J79" s="20">
        <f>$J$77*$J$78</f>
      </c>
    </row>
    <row r="80" spans="2:10" x14ac:dyDescent="0.25">
      <c r="B80" s="2" t="s">
        <v>909</v>
      </c>
      <c r="C80" s="2" t="s">
        <v>14</v>
      </c>
      <c r="D80" s="33">
        <f>$D$77-$D$79</f>
      </c>
      <c r="E80" s="33">
        <f>$E$77-$E$79</f>
      </c>
      <c r="F80" s="33">
        <f>$F$77-$F$79</f>
      </c>
      <c r="G80" s="33">
        <f>$G$77-$G$79</f>
      </c>
      <c r="H80" s="33">
        <f>$H$77-$H$79</f>
      </c>
      <c r="I80" s="33">
        <f>$I$77-$I$79</f>
      </c>
      <c r="J80" s="33">
        <f>$J$77-$J$79</f>
      </c>
    </row>
    <row r="81" spans="2:10" x14ac:dyDescent="0.25">
      <c r="B81" s="2" t="s">
        <v>910</v>
      </c>
      <c r="C81" s="2" t="s">
        <v>14</v>
      </c>
      <c r="D81" s="20">
        <f>$D$66*(1-((Inputs!$E$26+Inputs!$E$51+Inputs!$E$52)/$D$66))</f>
      </c>
      <c r="E81" s="20">
        <f>$E$66*(1-(Inputs!$D$183+Inputs!$E$211))</f>
      </c>
      <c r="F81" s="20">
        <f>$F$66*(1-(Inputs!$E$183+Inputs!$E$211))</f>
      </c>
      <c r="G81" s="20">
        <f>$G$66*(1-(Inputs!$F$183+Inputs!$E$211))</f>
      </c>
      <c r="H81" s="20">
        <f>$H$66*(1-(Inputs!$G$183+Inputs!$E$211))</f>
      </c>
      <c r="I81" s="20">
        <f>$I$66*(1-(Inputs!$H$183+Inputs!$E$211))</f>
      </c>
      <c r="J81" s="20">
        <f>$J$66*(1-(Inputs!$I$183+Inputs!$E$211))</f>
      </c>
    </row>
    <row r="82" spans="2:10" x14ac:dyDescent="0.25">
      <c r="B82" s="2" t="s">
        <v>911</v>
      </c>
      <c r="C82" s="2" t="s">
        <v>14</v>
      </c>
      <c r="D82" s="20">
        <f>Inputs!$E$67</f>
      </c>
      <c r="E82" s="20">
        <f>$E$66*Inputs!$D$191/Inputs!$D$18</f>
      </c>
      <c r="F82" s="20">
        <f>$F$66*Inputs!$E$191/Inputs!$D$18</f>
      </c>
      <c r="G82" s="20">
        <f>$G$66*Inputs!$F$191/Inputs!$D$18</f>
      </c>
      <c r="H82" s="20">
        <f>$H$66*Inputs!$G$191/Inputs!$D$18</f>
      </c>
      <c r="I82" s="20">
        <f>$I$66*Inputs!$H$191/Inputs!$D$18</f>
      </c>
      <c r="J82" s="20">
        <f>$J$66*Inputs!$I$191/Inputs!$D$18</f>
      </c>
    </row>
    <row r="83" spans="2:10" x14ac:dyDescent="0.25">
      <c r="B83" s="2" t="s">
        <v>912</v>
      </c>
      <c r="C83" s="2" t="s">
        <v>14</v>
      </c>
      <c r="D83" s="20">
        <f>Inputs!$E$66</f>
      </c>
      <c r="E83" s="20">
        <f>$E$81*Inputs!$D$192/Inputs!$D$18</f>
      </c>
      <c r="F83" s="20">
        <f>$F$81*Inputs!$E$192/Inputs!$D$18</f>
      </c>
      <c r="G83" s="20">
        <f>$G$81*Inputs!$F$192/Inputs!$D$18</f>
      </c>
      <c r="H83" s="20">
        <f>$H$81*Inputs!$G$192/Inputs!$D$18</f>
      </c>
      <c r="I83" s="20">
        <f>$I$81*Inputs!$H$192/Inputs!$D$18</f>
      </c>
      <c r="J83" s="20">
        <f>$J$81*Inputs!$I$192/Inputs!$D$18</f>
      </c>
    </row>
    <row r="84" spans="2:10" x14ac:dyDescent="0.25">
      <c r="B84" s="2" t="s">
        <v>913</v>
      </c>
      <c r="C84" s="2" t="s">
        <v>14</v>
      </c>
      <c r="D84" s="20">
        <f>Inputs!$E$93</f>
      </c>
      <c r="E84" s="20">
        <f>$E$81*Inputs!$D$193/Inputs!$D$18</f>
      </c>
      <c r="F84" s="20">
        <f>$F$81*Inputs!$E$193/Inputs!$D$18</f>
      </c>
      <c r="G84" s="20">
        <f>$G$81*Inputs!$F$193/Inputs!$D$18</f>
      </c>
      <c r="H84" s="20">
        <f>$H$81*Inputs!$G$193/Inputs!$D$18</f>
      </c>
      <c r="I84" s="20">
        <f>$I$81*Inputs!$H$193/Inputs!$D$18</f>
      </c>
      <c r="J84" s="20">
        <f>$J$81*Inputs!$I$193/Inputs!$D$18</f>
      </c>
    </row>
    <row r="85" spans="2:10" x14ac:dyDescent="0.25">
      <c r="B85" s="2" t="s">
        <v>914</v>
      </c>
      <c r="C85" s="2" t="s">
        <v>14</v>
      </c>
      <c r="D85" s="20">
        <f>Inputs!$E$70+Inputs!$E$72+Inputs!$E$71</f>
      </c>
      <c r="E85" s="20">
        <f>$E$66*Inputs!$D$194</f>
      </c>
      <c r="F85" s="20">
        <f>$F$66*Inputs!$E$194</f>
      </c>
      <c r="G85" s="20">
        <f>$G$66*Inputs!$F$194</f>
      </c>
      <c r="H85" s="20">
        <f>$H$66*Inputs!$G$194</f>
      </c>
      <c r="I85" s="20">
        <f>$I$66*Inputs!$H$194</f>
      </c>
      <c r="J85" s="20">
        <f>$J$66*Inputs!$I$194</f>
      </c>
    </row>
    <row r="86" spans="2:10" x14ac:dyDescent="0.25">
      <c r="B86" s="2" t="s">
        <v>915</v>
      </c>
      <c r="C86" s="2" t="s">
        <v>14</v>
      </c>
      <c r="D86" s="20">
        <f>Inputs!$E$94+Inputs!$E$95+Inputs!$E$97+Inputs!$E$98+Inputs!$E$99</f>
      </c>
      <c r="E86" s="20">
        <f>$E$66*Inputs!$D$195</f>
      </c>
      <c r="F86" s="20">
        <f>$F$66*Inputs!$E$195</f>
      </c>
      <c r="G86" s="20">
        <f>$G$66*Inputs!$F$195</f>
      </c>
      <c r="H86" s="20">
        <f>$H$66*Inputs!$G$195</f>
      </c>
      <c r="I86" s="20">
        <f>$I$66*Inputs!$H$195</f>
      </c>
      <c r="J86" s="20">
        <f>$J$66*Inputs!$I$195</f>
      </c>
    </row>
    <row r="87" spans="2:10" x14ac:dyDescent="0.25">
      <c r="B87" s="2" t="s">
        <v>916</v>
      </c>
      <c r="C87" s="2" t="s">
        <v>14</v>
      </c>
      <c r="D87" s="33">
        <f>$D$82+$D$83+$D$85-$D$84-$D$86</f>
      </c>
      <c r="E87" s="33">
        <f>$E$82+$E$83+$E$85-$E$84-$E$86</f>
      </c>
      <c r="F87" s="33">
        <f>$F$82+$F$83+$F$85-$F$84-$F$86</f>
      </c>
      <c r="G87" s="33">
        <f>$G$82+$G$83+$G$85-$G$84-$G$86</f>
      </c>
      <c r="H87" s="33">
        <f>$H$82+$H$83+$H$85-$H$84-$H$86</f>
      </c>
      <c r="I87" s="33">
        <f>$I$82+$I$83+$I$85-$I$84-$I$86</f>
      </c>
      <c r="J87" s="33">
        <f>$J$82+$J$83+$J$85-$J$84-$J$86</f>
      </c>
    </row>
    <row r="88" spans="2:10" x14ac:dyDescent="0.25">
      <c r="B88" s="2" t="s">
        <v>917</v>
      </c>
      <c r="C88" s="2" t="s">
        <v>14</v>
      </c>
      <c r="E88" s="20">
        <f>$E$87-$D$87</f>
      </c>
      <c r="F88" s="20">
        <f>$F$87-$E$87</f>
      </c>
      <c r="G88" s="20">
        <f>$G$87-$F$87</f>
      </c>
      <c r="H88" s="20">
        <f>$H$87-$G$87</f>
      </c>
      <c r="I88" s="20">
        <f>$I$87-$H$87</f>
      </c>
      <c r="J88" s="20">
        <f>$J$87-$I$87</f>
      </c>
    </row>
    <row r="89" spans="2:10" x14ac:dyDescent="0.25">
      <c r="B89" s="2" t="s">
        <v>918</v>
      </c>
      <c r="C89" s="2" t="s">
        <v>14</v>
      </c>
      <c r="D89" s="20">
        <f>Inputs!$E$49</f>
      </c>
      <c r="E89" s="20">
        <f>$E$80+Inputs!$D$202*(1-$E$78)</f>
      </c>
      <c r="F89" s="20">
        <f>$F$80+Inputs!$D$202*(1-$F$78)</f>
      </c>
      <c r="G89" s="20">
        <f>$G$80+Inputs!$D$202*(1-$G$78)</f>
      </c>
      <c r="H89" s="20">
        <f>$H$80+Inputs!$D$202*(1-$H$78)</f>
      </c>
      <c r="I89" s="20">
        <f>$I$80+Inputs!$D$202*(1-$I$78)</f>
      </c>
      <c r="J89" s="20">
        <f>$J$80+Inputs!$D$202*(1-$J$78)</f>
      </c>
    </row>
    <row r="90" spans="2:10" x14ac:dyDescent="0.25">
      <c r="B90" s="2" t="s">
        <v>919</v>
      </c>
      <c r="C90" s="2" t="s">
        <v>14</v>
      </c>
      <c r="E90" s="20">
        <f>IF(Inputs!$D$200=1,Inputs!$D$201*$D$89,0)</f>
      </c>
      <c r="F90" s="20">
        <f>IF(Inputs!$D$200=1,Inputs!$D$201*$E$89,0)</f>
      </c>
      <c r="G90" s="20">
        <f>IF(Inputs!$D$200=1,Inputs!$D$201*$F$89,0)</f>
      </c>
      <c r="H90" s="20">
        <f>IF(Inputs!$D$200=1,Inputs!$D$201*$G$89,0)</f>
      </c>
      <c r="I90" s="20">
        <f>IF(Inputs!$D$200=1,Inputs!$D$201*$H$89,0)</f>
      </c>
      <c r="J90" s="20">
        <f>IF(Inputs!$D$200=1,Inputs!$D$201*$I$89,0)</f>
      </c>
    </row>
    <row r="91" spans="2:10" x14ac:dyDescent="0.25">
      <c r="B91" s="9" t="s">
        <v>920</v>
      </c>
      <c r="C91" s="2" t="s">
        <v>14</v>
      </c>
      <c r="E91" s="34">
        <f>$E$80+$E$74-$E$75-$E$88-$E$90</f>
      </c>
      <c r="F91" s="34">
        <f>$F$80+$F$74-$F$75-$F$88-$F$90</f>
      </c>
      <c r="G91" s="34">
        <f>$G$80+$G$74-$G$75-$G$88-$G$90</f>
      </c>
      <c r="H91" s="34">
        <f>$H$80+$H$74-$H$75-$H$88-$H$90</f>
      </c>
      <c r="I91" s="34">
        <f>$I$80+$I$74-$I$75-$I$88-$I$90</f>
      </c>
      <c r="J91" s="34">
        <f>$J$80+$J$74-$J$75-$J$88-$J$90</f>
      </c>
    </row>
    <row r="92" spans="2:9" x14ac:dyDescent="0.25">
      <c r="B92" s="2" t="s">
        <v>921</v>
      </c>
      <c r="C92" s="2" t="s">
        <v>14</v>
      </c>
      <c r="E92" s="20">
        <f>$E$91*DCF!$D$10*(1+$D$64)^(-DCF!$D$12)</f>
      </c>
      <c r="F92" s="20">
        <f>$F$91*DCF!$E$10*(1+$D$64)^(-DCF!$E$12)</f>
      </c>
      <c r="G92" s="20">
        <f>$G$91*DCF!$F$10*(1+$D$64)^(-DCF!$F$12)</f>
      </c>
      <c r="H92" s="20">
        <f>$H$91*DCF!$G$10*(1+$D$64)^(-DCF!$G$12)</f>
      </c>
      <c r="I92" s="20">
        <f>$I$91*DCF!$H$10*(1+$D$64)^(-DCF!$H$12)</f>
      </c>
    </row>
    <row r="93" spans="2:4" x14ac:dyDescent="0.25">
      <c r="B93" s="2" t="s">
        <v>922</v>
      </c>
      <c r="C93" s="2" t="s">
        <v>14</v>
      </c>
      <c r="D93" s="20">
        <f>SUM($E$92:$I$92)</f>
      </c>
    </row>
    <row r="94" spans="2:4" x14ac:dyDescent="0.25">
      <c r="B94" s="2" t="s">
        <v>923</v>
      </c>
      <c r="C94" s="2" t="s">
        <v>14</v>
      </c>
      <c r="D94" s="20">
        <f>IF(Inputs!$D$171="gordon",IF($D$65&lt;$D$64,$J$91/($D$64-$D$65),"n/a"),$I$70*Inputs!$D$173)</f>
      </c>
    </row>
    <row r="95" spans="2:4" x14ac:dyDescent="0.25">
      <c r="B95" s="2" t="s">
        <v>924</v>
      </c>
      <c r="C95" s="2" t="s">
        <v>14</v>
      </c>
      <c r="D95" s="33">
        <f>IFERROR($D$93+$D$94*(1+$D$64)^(-DCF!$D$21),"n/a")</f>
      </c>
    </row>
    <row r="96" spans="2:4" x14ac:dyDescent="0.25">
      <c r="B96" s="2" t="s">
        <v>925</v>
      </c>
      <c r="C96" s="2" t="s">
        <v>14</v>
      </c>
      <c r="D96" s="20">
        <f>IFERROR($D$95+DCF!$D$51,"n/a")</f>
      </c>
    </row>
    <row r="97" spans="2:4" x14ac:dyDescent="0.25">
      <c r="B97" s="9" t="s">
        <v>926</v>
      </c>
      <c r="C97" s="2" t="s">
        <v>14</v>
      </c>
      <c r="D97" s="40">
        <f>IFERROR($D$96/Inputs!$D$15,"n/a")</f>
      </c>
    </row>
    <row r="99" spans="2:11" x14ac:dyDescent="0.25">
      <c r="B99" s="3" t="s">
        <v>927</v>
      </c>
      <c r="C99" s="4"/>
      <c r="D99" s="4"/>
      <c r="E99" s="4"/>
      <c r="F99" s="4"/>
      <c r="G99" s="4"/>
      <c r="H99" s="4"/>
      <c r="I99" s="4"/>
      <c r="J99" s="4"/>
      <c r="K99" s="4"/>
    </row>
    <row r="100" spans="2:11" x14ac:dyDescent="0.25">
      <c r="B100" s="4"/>
      <c r="C100" s="3" t="s">
        <v>432</v>
      </c>
      <c r="D100" s="5" t="s">
        <v>108</v>
      </c>
      <c r="E100" s="5" t="s">
        <v>281</v>
      </c>
      <c r="F100" s="5" t="s">
        <v>282</v>
      </c>
      <c r="G100" s="5" t="s">
        <v>283</v>
      </c>
      <c r="H100" s="5" t="s">
        <v>284</v>
      </c>
      <c r="I100" s="5" t="s">
        <v>285</v>
      </c>
      <c r="J100" s="5" t="s">
        <v>286</v>
      </c>
      <c r="K100" s="3" t="s">
        <v>6</v>
      </c>
    </row>
    <row r="101" spans="2:4" x14ac:dyDescent="0.25">
      <c r="B101" s="2" t="s">
        <v>928</v>
      </c>
      <c r="C101" s="2" t="s">
        <v>54</v>
      </c>
      <c r="D101" s="15">
        <f>WACC!$D$54+Inputs!$F$212</f>
      </c>
    </row>
    <row r="102" spans="2:4" x14ac:dyDescent="0.25">
      <c r="B102" s="2" t="s">
        <v>929</v>
      </c>
      <c r="C102" s="2" t="s">
        <v>54</v>
      </c>
      <c r="D102" s="15">
        <f>Inputs!$D$172+Inputs!$F$213</f>
      </c>
    </row>
    <row r="103" spans="2:10" x14ac:dyDescent="0.25">
      <c r="B103" s="9" t="s">
        <v>930</v>
      </c>
      <c r="C103" s="2" t="s">
        <v>14</v>
      </c>
      <c r="D103" s="35">
        <f>Inputs!$E$23</f>
      </c>
      <c r="E103" s="35">
        <f>$D$103*(1+(Inputs!$D$182+Inputs!$F$210))</f>
      </c>
      <c r="F103" s="35">
        <f>$E$103*(1+(Inputs!$E$182+Inputs!$F$210))</f>
      </c>
      <c r="G103" s="35">
        <f>$F$103*(1+(Inputs!$F$182+Inputs!$F$210))</f>
      </c>
      <c r="H103" s="35">
        <f>$G$103*(1+(Inputs!$G$182+Inputs!$F$210))</f>
      </c>
      <c r="I103" s="35">
        <f>$H$103*(1+(Inputs!$H$182+Inputs!$F$210))</f>
      </c>
      <c r="J103" s="35">
        <f>$I$103*(1+(Inputs!$D$172+Inputs!$F$213))</f>
      </c>
    </row>
    <row r="104" spans="2:10" x14ac:dyDescent="0.25">
      <c r="B104" s="2" t="s">
        <v>931</v>
      </c>
      <c r="C104" s="2" t="s">
        <v>14</v>
      </c>
      <c r="D104" s="20">
        <f>$D$103*((Inputs!$E$26+Inputs!$E$51+Inputs!$E$52)/$D$103)</f>
      </c>
      <c r="E104" s="20">
        <f>$E$103*(Inputs!$D$183+Inputs!$F$211)</f>
      </c>
      <c r="F104" s="20">
        <f>$F$103*(Inputs!$E$183+Inputs!$F$211)</f>
      </c>
      <c r="G104" s="20">
        <f>$G$103*(Inputs!$F$183+Inputs!$F$211)</f>
      </c>
      <c r="H104" s="20">
        <f>$H$103*(Inputs!$G$183+Inputs!$F$211)</f>
      </c>
      <c r="I104" s="20">
        <f>$I$103*(Inputs!$H$183+Inputs!$F$211)</f>
      </c>
      <c r="J104" s="20">
        <f>$J$103*(Inputs!$I$183+Inputs!$F$211)</f>
      </c>
    </row>
    <row r="105" spans="2:10" x14ac:dyDescent="0.25">
      <c r="B105" s="2" t="s">
        <v>932</v>
      </c>
      <c r="C105" s="2" t="s">
        <v>14</v>
      </c>
      <c r="D105" s="20">
        <f>-(Inputs!$E$29+Inputs!$E$30)</f>
      </c>
      <c r="E105" s="20">
        <f>$E$103*Inputs!$D$184</f>
      </c>
      <c r="F105" s="20">
        <f>$F$103*Inputs!$E$184</f>
      </c>
      <c r="G105" s="20">
        <f>$G$103*Inputs!$F$184</f>
      </c>
      <c r="H105" s="20">
        <f>$H$103*Inputs!$G$184</f>
      </c>
      <c r="I105" s="20">
        <f>$I$103*Inputs!$H$184</f>
      </c>
      <c r="J105" s="20">
        <f>$J$103*Inputs!$I$184</f>
      </c>
    </row>
    <row r="106" spans="2:10" x14ac:dyDescent="0.25">
      <c r="B106" s="2" t="s">
        <v>933</v>
      </c>
      <c r="C106" s="2" t="s">
        <v>14</v>
      </c>
      <c r="D106" s="20">
        <f>Normalization!$D$13-Inputs!$E$26-Inputs!$E$29-Inputs!$E$30</f>
      </c>
      <c r="E106" s="20">
        <f>$E$103*Inputs!$D$185</f>
      </c>
      <c r="F106" s="20">
        <f>$F$103*Inputs!$E$185</f>
      </c>
      <c r="G106" s="20">
        <f>$G$103*Inputs!$F$185</f>
      </c>
      <c r="H106" s="20">
        <f>$H$103*Inputs!$G$185</f>
      </c>
      <c r="I106" s="20">
        <f>$I$103*Inputs!$H$185</f>
      </c>
      <c r="J106" s="20">
        <f>$J$103*Inputs!$I$185</f>
      </c>
    </row>
    <row r="107" spans="2:10" x14ac:dyDescent="0.25">
      <c r="B107" s="9" t="s">
        <v>934</v>
      </c>
      <c r="C107" s="2" t="s">
        <v>14</v>
      </c>
      <c r="D107" s="34">
        <f>$D$104-$D$105+$D$106</f>
      </c>
      <c r="E107" s="34">
        <f>$E$104-$E$105+$E$106</f>
      </c>
      <c r="F107" s="34">
        <f>$F$104-$F$105+$F$106</f>
      </c>
      <c r="G107" s="34">
        <f>$G$104-$G$105+$G$106</f>
      </c>
      <c r="H107" s="34">
        <f>$H$104-$H$105+$H$106</f>
      </c>
      <c r="I107" s="34">
        <f>$I$104-$I$105+$I$106</f>
      </c>
      <c r="J107" s="34">
        <f>$J$104-$J$105+$J$106</f>
      </c>
    </row>
    <row r="108" spans="2:10" x14ac:dyDescent="0.25">
      <c r="B108" s="2" t="s">
        <v>935</v>
      </c>
      <c r="C108" s="2" t="s">
        <v>14</v>
      </c>
      <c r="E108" s="20">
        <f>Inputs!$E$57</f>
      </c>
      <c r="F108" s="20">
        <f>$E$113</f>
      </c>
      <c r="G108" s="20">
        <f>$F$113</f>
      </c>
      <c r="H108" s="20">
        <f>$G$113</f>
      </c>
      <c r="I108" s="20">
        <f>$H$113</f>
      </c>
      <c r="J108" s="20">
        <f>$I$113</f>
      </c>
    </row>
    <row r="109" spans="2:10" x14ac:dyDescent="0.25">
      <c r="B109" s="2" t="s">
        <v>936</v>
      </c>
      <c r="C109" s="2" t="s">
        <v>14</v>
      </c>
      <c r="D109" s="20">
        <f>Inputs!$E$51</f>
      </c>
      <c r="E109" s="20">
        <f>IF(Inputs!$D$180="ppe_rollforward",Inputs!$D$187*$E$108,$E$103*Inputs!$D$186)</f>
      </c>
      <c r="F109" s="20">
        <f>IF(Inputs!$D$180="ppe_rollforward",Inputs!$E$187*$F$108,$F$103*Inputs!$E$186)</f>
      </c>
      <c r="G109" s="20">
        <f>IF(Inputs!$D$180="ppe_rollforward",Inputs!$F$187*$G$108,$G$103*Inputs!$F$186)</f>
      </c>
      <c r="H109" s="20">
        <f>IF(Inputs!$D$180="ppe_rollforward",Inputs!$G$187*$H$108,$H$103*Inputs!$G$186)</f>
      </c>
      <c r="I109" s="20">
        <f>IF(Inputs!$D$180="ppe_rollforward",Inputs!$H$187*$I$108,$I$103*Inputs!$H$186)</f>
      </c>
      <c r="J109" s="20">
        <f>IF(Inputs!$D$180="ppe_rollforward",Inputs!$I$187*$J$108,$J$103*Inputs!$I$186)</f>
      </c>
    </row>
    <row r="110" spans="2:10" x14ac:dyDescent="0.25">
      <c r="B110" s="2" t="s">
        <v>937</v>
      </c>
      <c r="C110" s="2" t="s">
        <v>14</v>
      </c>
      <c r="D110" s="20">
        <f>Inputs!$E$52</f>
      </c>
      <c r="E110" s="20">
        <f>IF(Inputs!$D$180="ppe_rollforward",$E$103*Inputs!$D$188,0)</f>
      </c>
      <c r="F110" s="20">
        <f>IF(Inputs!$D$180="ppe_rollforward",$F$103*Inputs!$E$188,0)</f>
      </c>
      <c r="G110" s="20">
        <f>IF(Inputs!$D$180="ppe_rollforward",$G$103*Inputs!$F$188,0)</f>
      </c>
      <c r="H110" s="20">
        <f>IF(Inputs!$D$180="ppe_rollforward",$H$103*Inputs!$G$188,0)</f>
      </c>
      <c r="I110" s="20">
        <f>IF(Inputs!$D$180="ppe_rollforward",$I$103*Inputs!$H$188,0)</f>
      </c>
      <c r="J110" s="20">
        <f>IF(Inputs!$D$180="ppe_rollforward",$J$103*Inputs!$I$188,0)</f>
      </c>
    </row>
    <row r="111" spans="2:10" x14ac:dyDescent="0.25">
      <c r="B111" s="2" t="s">
        <v>938</v>
      </c>
      <c r="C111" s="2" t="s">
        <v>14</v>
      </c>
      <c r="D111" s="20">
        <f>$D$109+$D$110</f>
      </c>
      <c r="E111" s="20">
        <f>$E$109+$E$110</f>
      </c>
      <c r="F111" s="20">
        <f>$F$109+$F$110</f>
      </c>
      <c r="G111" s="20">
        <f>$G$109+$G$110</f>
      </c>
      <c r="H111" s="20">
        <f>$H$109+$H$110</f>
      </c>
      <c r="I111" s="20">
        <f>$I$109+$I$110</f>
      </c>
      <c r="J111" s="20">
        <f>$J$109+$J$110</f>
      </c>
    </row>
    <row r="112" spans="2:10" x14ac:dyDescent="0.25">
      <c r="B112" s="2" t="s">
        <v>939</v>
      </c>
      <c r="C112" s="2" t="s">
        <v>14</v>
      </c>
      <c r="D112" s="20">
        <f>-Inputs!$E$111</f>
      </c>
      <c r="E112" s="20">
        <f>IF(Inputs!$D$181="absolute",Inputs!$D$190,$E$103*Inputs!$D$189)</f>
      </c>
      <c r="F112" s="20">
        <f>IF(Inputs!$D$181="absolute",Inputs!$E$190,$F$103*Inputs!$E$189)</f>
      </c>
      <c r="G112" s="20">
        <f>IF(Inputs!$D$181="absolute",Inputs!$F$190,$G$103*Inputs!$F$189)</f>
      </c>
      <c r="H112" s="20">
        <f>IF(Inputs!$D$181="absolute",Inputs!$G$190,$H$103*Inputs!$G$189)</f>
      </c>
      <c r="I112" s="20">
        <f>IF(Inputs!$D$181="absolute",Inputs!$H$190,$I$103*Inputs!$H$189)</f>
      </c>
      <c r="J112" s="20">
        <f>$J$103*Inputs!$I$189</f>
      </c>
    </row>
    <row r="113" spans="2:10" x14ac:dyDescent="0.25">
      <c r="B113" s="2" t="s">
        <v>940</v>
      </c>
      <c r="C113" s="2" t="s">
        <v>14</v>
      </c>
      <c r="D113" s="20">
        <f>Inputs!$E$57</f>
      </c>
      <c r="E113" s="20">
        <f>$E$108+$E$112-$E$109</f>
      </c>
      <c r="F113" s="20">
        <f>$F$108+$F$112-$F$109</f>
      </c>
      <c r="G113" s="20">
        <f>$G$108+$G$112-$G$109</f>
      </c>
      <c r="H113" s="20">
        <f>$H$108+$H$112-$H$109</f>
      </c>
      <c r="I113" s="20">
        <f>$I$108+$I$112-$I$109</f>
      </c>
      <c r="J113" s="20">
        <f>$J$108+$J$112-$J$109</f>
      </c>
    </row>
    <row r="114" spans="2:10" x14ac:dyDescent="0.25">
      <c r="B114" s="9" t="s">
        <v>941</v>
      </c>
      <c r="C114" s="2" t="s">
        <v>14</v>
      </c>
      <c r="D114" s="35">
        <f>$D$107-$D$111</f>
      </c>
      <c r="E114" s="35">
        <f>$E$107-$E$111</f>
      </c>
      <c r="F114" s="35">
        <f>$F$107-$F$111</f>
      </c>
      <c r="G114" s="35">
        <f>$G$107-$G$111</f>
      </c>
      <c r="H114" s="35">
        <f>$H$107-$H$111</f>
      </c>
      <c r="I114" s="35">
        <f>$I$107-$I$111</f>
      </c>
      <c r="J114" s="35">
        <f>$J$107-$J$111</f>
      </c>
    </row>
    <row r="115" spans="2:10" x14ac:dyDescent="0.25">
      <c r="B115" s="2" t="s">
        <v>942</v>
      </c>
      <c r="C115" s="2" t="s">
        <v>54</v>
      </c>
      <c r="D115" s="11">
        <f>Inputs!$D$133</f>
      </c>
      <c r="E115" s="11">
        <f>Inputs!$D$196</f>
      </c>
      <c r="F115" s="11">
        <f>Inputs!$E$196</f>
      </c>
      <c r="G115" s="11">
        <f>Inputs!$F$196</f>
      </c>
      <c r="H115" s="11">
        <f>Inputs!$G$196</f>
      </c>
      <c r="I115" s="11">
        <f>Inputs!$H$196</f>
      </c>
      <c r="J115" s="11">
        <f>Inputs!$I$196</f>
      </c>
    </row>
    <row r="116" spans="2:10" x14ac:dyDescent="0.25">
      <c r="B116" s="2" t="s">
        <v>943</v>
      </c>
      <c r="C116" s="2" t="s">
        <v>14</v>
      </c>
      <c r="D116" s="20">
        <f>$D$114*$D$115</f>
      </c>
      <c r="E116" s="20">
        <f>$E$114*$E$115</f>
      </c>
      <c r="F116" s="20">
        <f>$F$114*$F$115</f>
      </c>
      <c r="G116" s="20">
        <f>$G$114*$G$115</f>
      </c>
      <c r="H116" s="20">
        <f>$H$114*$H$115</f>
      </c>
      <c r="I116" s="20">
        <f>$I$114*$I$115</f>
      </c>
      <c r="J116" s="20">
        <f>$J$114*$J$115</f>
      </c>
    </row>
    <row r="117" spans="2:10" x14ac:dyDescent="0.25">
      <c r="B117" s="2" t="s">
        <v>944</v>
      </c>
      <c r="C117" s="2" t="s">
        <v>14</v>
      </c>
      <c r="D117" s="33">
        <f>$D$114-$D$116</f>
      </c>
      <c r="E117" s="33">
        <f>$E$114-$E$116</f>
      </c>
      <c r="F117" s="33">
        <f>$F$114-$F$116</f>
      </c>
      <c r="G117" s="33">
        <f>$G$114-$G$116</f>
      </c>
      <c r="H117" s="33">
        <f>$H$114-$H$116</f>
      </c>
      <c r="I117" s="33">
        <f>$I$114-$I$116</f>
      </c>
      <c r="J117" s="33">
        <f>$J$114-$J$116</f>
      </c>
    </row>
    <row r="118" spans="2:10" x14ac:dyDescent="0.25">
      <c r="B118" s="2" t="s">
        <v>945</v>
      </c>
      <c r="C118" s="2" t="s">
        <v>14</v>
      </c>
      <c r="D118" s="20">
        <f>$D$103*(1-((Inputs!$E$26+Inputs!$E$51+Inputs!$E$52)/$D$103))</f>
      </c>
      <c r="E118" s="20">
        <f>$E$103*(1-(Inputs!$D$183+Inputs!$F$211))</f>
      </c>
      <c r="F118" s="20">
        <f>$F$103*(1-(Inputs!$E$183+Inputs!$F$211))</f>
      </c>
      <c r="G118" s="20">
        <f>$G$103*(1-(Inputs!$F$183+Inputs!$F$211))</f>
      </c>
      <c r="H118" s="20">
        <f>$H$103*(1-(Inputs!$G$183+Inputs!$F$211))</f>
      </c>
      <c r="I118" s="20">
        <f>$I$103*(1-(Inputs!$H$183+Inputs!$F$211))</f>
      </c>
      <c r="J118" s="20">
        <f>$J$103*(1-(Inputs!$I$183+Inputs!$F$211))</f>
      </c>
    </row>
    <row r="119" spans="2:10" x14ac:dyDescent="0.25">
      <c r="B119" s="2" t="s">
        <v>946</v>
      </c>
      <c r="C119" s="2" t="s">
        <v>14</v>
      </c>
      <c r="D119" s="20">
        <f>Inputs!$E$67</f>
      </c>
      <c r="E119" s="20">
        <f>$E$103*Inputs!$D$191/Inputs!$D$18</f>
      </c>
      <c r="F119" s="20">
        <f>$F$103*Inputs!$E$191/Inputs!$D$18</f>
      </c>
      <c r="G119" s="20">
        <f>$G$103*Inputs!$F$191/Inputs!$D$18</f>
      </c>
      <c r="H119" s="20">
        <f>$H$103*Inputs!$G$191/Inputs!$D$18</f>
      </c>
      <c r="I119" s="20">
        <f>$I$103*Inputs!$H$191/Inputs!$D$18</f>
      </c>
      <c r="J119" s="20">
        <f>$J$103*Inputs!$I$191/Inputs!$D$18</f>
      </c>
    </row>
    <row r="120" spans="2:10" x14ac:dyDescent="0.25">
      <c r="B120" s="2" t="s">
        <v>947</v>
      </c>
      <c r="C120" s="2" t="s">
        <v>14</v>
      </c>
      <c r="D120" s="20">
        <f>Inputs!$E$66</f>
      </c>
      <c r="E120" s="20">
        <f>$E$118*Inputs!$D$192/Inputs!$D$18</f>
      </c>
      <c r="F120" s="20">
        <f>$F$118*Inputs!$E$192/Inputs!$D$18</f>
      </c>
      <c r="G120" s="20">
        <f>$G$118*Inputs!$F$192/Inputs!$D$18</f>
      </c>
      <c r="H120" s="20">
        <f>$H$118*Inputs!$G$192/Inputs!$D$18</f>
      </c>
      <c r="I120" s="20">
        <f>$I$118*Inputs!$H$192/Inputs!$D$18</f>
      </c>
      <c r="J120" s="20">
        <f>$J$118*Inputs!$I$192/Inputs!$D$18</f>
      </c>
    </row>
    <row r="121" spans="2:10" x14ac:dyDescent="0.25">
      <c r="B121" s="2" t="s">
        <v>948</v>
      </c>
      <c r="C121" s="2" t="s">
        <v>14</v>
      </c>
      <c r="D121" s="20">
        <f>Inputs!$E$93</f>
      </c>
      <c r="E121" s="20">
        <f>$E$118*Inputs!$D$193/Inputs!$D$18</f>
      </c>
      <c r="F121" s="20">
        <f>$F$118*Inputs!$E$193/Inputs!$D$18</f>
      </c>
      <c r="G121" s="20">
        <f>$G$118*Inputs!$F$193/Inputs!$D$18</f>
      </c>
      <c r="H121" s="20">
        <f>$H$118*Inputs!$G$193/Inputs!$D$18</f>
      </c>
      <c r="I121" s="20">
        <f>$I$118*Inputs!$H$193/Inputs!$D$18</f>
      </c>
      <c r="J121" s="20">
        <f>$J$118*Inputs!$I$193/Inputs!$D$18</f>
      </c>
    </row>
    <row r="122" spans="2:10" x14ac:dyDescent="0.25">
      <c r="B122" s="2" t="s">
        <v>949</v>
      </c>
      <c r="C122" s="2" t="s">
        <v>14</v>
      </c>
      <c r="D122" s="20">
        <f>Inputs!$E$70+Inputs!$E$72+Inputs!$E$71</f>
      </c>
      <c r="E122" s="20">
        <f>$E$103*Inputs!$D$194</f>
      </c>
      <c r="F122" s="20">
        <f>$F$103*Inputs!$E$194</f>
      </c>
      <c r="G122" s="20">
        <f>$G$103*Inputs!$F$194</f>
      </c>
      <c r="H122" s="20">
        <f>$H$103*Inputs!$G$194</f>
      </c>
      <c r="I122" s="20">
        <f>$I$103*Inputs!$H$194</f>
      </c>
      <c r="J122" s="20">
        <f>$J$103*Inputs!$I$194</f>
      </c>
    </row>
    <row r="123" spans="2:10" x14ac:dyDescent="0.25">
      <c r="B123" s="2" t="s">
        <v>950</v>
      </c>
      <c r="C123" s="2" t="s">
        <v>14</v>
      </c>
      <c r="D123" s="20">
        <f>Inputs!$E$94+Inputs!$E$95+Inputs!$E$97+Inputs!$E$98+Inputs!$E$99</f>
      </c>
      <c r="E123" s="20">
        <f>$E$103*Inputs!$D$195</f>
      </c>
      <c r="F123" s="20">
        <f>$F$103*Inputs!$E$195</f>
      </c>
      <c r="G123" s="20">
        <f>$G$103*Inputs!$F$195</f>
      </c>
      <c r="H123" s="20">
        <f>$H$103*Inputs!$G$195</f>
      </c>
      <c r="I123" s="20">
        <f>$I$103*Inputs!$H$195</f>
      </c>
      <c r="J123" s="20">
        <f>$J$103*Inputs!$I$195</f>
      </c>
    </row>
    <row r="124" spans="2:10" x14ac:dyDescent="0.25">
      <c r="B124" s="2" t="s">
        <v>951</v>
      </c>
      <c r="C124" s="2" t="s">
        <v>14</v>
      </c>
      <c r="D124" s="33">
        <f>$D$119+$D$120+$D$122-$D$121-$D$123</f>
      </c>
      <c r="E124" s="33">
        <f>$E$119+$E$120+$E$122-$E$121-$E$123</f>
      </c>
      <c r="F124" s="33">
        <f>$F$119+$F$120+$F$122-$F$121-$F$123</f>
      </c>
      <c r="G124" s="33">
        <f>$G$119+$G$120+$G$122-$G$121-$G$123</f>
      </c>
      <c r="H124" s="33">
        <f>$H$119+$H$120+$H$122-$H$121-$H$123</f>
      </c>
      <c r="I124" s="33">
        <f>$I$119+$I$120+$I$122-$I$121-$I$123</f>
      </c>
      <c r="J124" s="33">
        <f>$J$119+$J$120+$J$122-$J$121-$J$123</f>
      </c>
    </row>
    <row r="125" spans="2:10" x14ac:dyDescent="0.25">
      <c r="B125" s="2" t="s">
        <v>952</v>
      </c>
      <c r="C125" s="2" t="s">
        <v>14</v>
      </c>
      <c r="E125" s="20">
        <f>$E$124-$D$124</f>
      </c>
      <c r="F125" s="20">
        <f>$F$124-$E$124</f>
      </c>
      <c r="G125" s="20">
        <f>$G$124-$F$124</f>
      </c>
      <c r="H125" s="20">
        <f>$H$124-$G$124</f>
      </c>
      <c r="I125" s="20">
        <f>$I$124-$H$124</f>
      </c>
      <c r="J125" s="20">
        <f>$J$124-$I$124</f>
      </c>
    </row>
    <row r="126" spans="2:10" x14ac:dyDescent="0.25">
      <c r="B126" s="2" t="s">
        <v>953</v>
      </c>
      <c r="C126" s="2" t="s">
        <v>14</v>
      </c>
      <c r="D126" s="20">
        <f>Inputs!$E$49</f>
      </c>
      <c r="E126" s="20">
        <f>$E$117+Inputs!$D$202*(1-$E$115)</f>
      </c>
      <c r="F126" s="20">
        <f>$F$117+Inputs!$D$202*(1-$F$115)</f>
      </c>
      <c r="G126" s="20">
        <f>$G$117+Inputs!$D$202*(1-$G$115)</f>
      </c>
      <c r="H126" s="20">
        <f>$H$117+Inputs!$D$202*(1-$H$115)</f>
      </c>
      <c r="I126" s="20">
        <f>$I$117+Inputs!$D$202*(1-$I$115)</f>
      </c>
      <c r="J126" s="20">
        <f>$J$117+Inputs!$D$202*(1-$J$115)</f>
      </c>
    </row>
    <row r="127" spans="2:10" x14ac:dyDescent="0.25">
      <c r="B127" s="2" t="s">
        <v>954</v>
      </c>
      <c r="C127" s="2" t="s">
        <v>14</v>
      </c>
      <c r="E127" s="20">
        <f>IF(Inputs!$D$200=1,Inputs!$D$201*$D$126,0)</f>
      </c>
      <c r="F127" s="20">
        <f>IF(Inputs!$D$200=1,Inputs!$D$201*$E$126,0)</f>
      </c>
      <c r="G127" s="20">
        <f>IF(Inputs!$D$200=1,Inputs!$D$201*$F$126,0)</f>
      </c>
      <c r="H127" s="20">
        <f>IF(Inputs!$D$200=1,Inputs!$D$201*$G$126,0)</f>
      </c>
      <c r="I127" s="20">
        <f>IF(Inputs!$D$200=1,Inputs!$D$201*$H$126,0)</f>
      </c>
      <c r="J127" s="20">
        <f>IF(Inputs!$D$200=1,Inputs!$D$201*$I$126,0)</f>
      </c>
    </row>
    <row r="128" spans="2:10" x14ac:dyDescent="0.25">
      <c r="B128" s="9" t="s">
        <v>955</v>
      </c>
      <c r="C128" s="2" t="s">
        <v>14</v>
      </c>
      <c r="E128" s="34">
        <f>$E$117+$E$111-$E$112-$E$125-$E$127</f>
      </c>
      <c r="F128" s="34">
        <f>$F$117+$F$111-$F$112-$F$125-$F$127</f>
      </c>
      <c r="G128" s="34">
        <f>$G$117+$G$111-$G$112-$G$125-$G$127</f>
      </c>
      <c r="H128" s="34">
        <f>$H$117+$H$111-$H$112-$H$125-$H$127</f>
      </c>
      <c r="I128" s="34">
        <f>$I$117+$I$111-$I$112-$I$125-$I$127</f>
      </c>
      <c r="J128" s="34">
        <f>$J$117+$J$111-$J$112-$J$125-$J$127</f>
      </c>
    </row>
    <row r="129" spans="2:9" x14ac:dyDescent="0.25">
      <c r="B129" s="2" t="s">
        <v>956</v>
      </c>
      <c r="C129" s="2" t="s">
        <v>14</v>
      </c>
      <c r="E129" s="20">
        <f>$E$128*DCF!$D$10*(1+$D$101)^(-DCF!$D$12)</f>
      </c>
      <c r="F129" s="20">
        <f>$F$128*DCF!$E$10*(1+$D$101)^(-DCF!$E$12)</f>
      </c>
      <c r="G129" s="20">
        <f>$G$128*DCF!$F$10*(1+$D$101)^(-DCF!$F$12)</f>
      </c>
      <c r="H129" s="20">
        <f>$H$128*DCF!$G$10*(1+$D$101)^(-DCF!$G$12)</f>
      </c>
      <c r="I129" s="20">
        <f>$I$128*DCF!$H$10*(1+$D$101)^(-DCF!$H$12)</f>
      </c>
    </row>
    <row r="130" spans="2:4" x14ac:dyDescent="0.25">
      <c r="B130" s="2" t="s">
        <v>957</v>
      </c>
      <c r="C130" s="2" t="s">
        <v>14</v>
      </c>
      <c r="D130" s="20">
        <f>SUM($E$129:$I$129)</f>
      </c>
    </row>
    <row r="131" spans="2:4" x14ac:dyDescent="0.25">
      <c r="B131" s="2" t="s">
        <v>958</v>
      </c>
      <c r="C131" s="2" t="s">
        <v>14</v>
      </c>
      <c r="D131" s="20">
        <f>IF(Inputs!$D$171="gordon",IF($D$102&lt;$D$101,$J$128/($D$101-$D$102),"n/a"),$I$107*Inputs!$D$173)</f>
      </c>
    </row>
    <row r="132" spans="2:4" x14ac:dyDescent="0.25">
      <c r="B132" s="2" t="s">
        <v>959</v>
      </c>
      <c r="C132" s="2" t="s">
        <v>14</v>
      </c>
      <c r="D132" s="33">
        <f>IFERROR($D$130+$D$131*(1+$D$101)^(-DCF!$D$21),"n/a")</f>
      </c>
    </row>
    <row r="133" spans="2:4" x14ac:dyDescent="0.25">
      <c r="B133" s="2" t="s">
        <v>960</v>
      </c>
      <c r="C133" s="2" t="s">
        <v>14</v>
      </c>
      <c r="D133" s="20">
        <f>IFERROR($D$132+DCF!$D$51,"n/a")</f>
      </c>
    </row>
    <row r="134" spans="2:4" x14ac:dyDescent="0.25">
      <c r="B134" s="9" t="s">
        <v>961</v>
      </c>
      <c r="C134" s="2" t="s">
        <v>14</v>
      </c>
      <c r="D134" s="40">
        <f>IFERROR($D$133/Inputs!$D$15,"n/a")</f>
      </c>
    </row>
  </sheetData>
  <pageMargins left="0.4" right="0.4" top="0.5" bottom="0.6" header="0.3" footer="0.3"/>
  <pageSetup paperSize="9" orientation="landscape" fitToWidth="1" fitToHeight="0"/>
  <headerFooter>
    <oddFooter>&amp;CMOPCO | Scenarios |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902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2" customWidth="1"/>
    <col min="3" max="3" width="11" customWidth="1"/>
    <col min="4" max="10" width="17" customWidth="1"/>
    <col min="11" max="11" width="70" customWidth="1"/>
  </cols>
  <sheetData>
    <row r="2" spans="2:2" x14ac:dyDescent="0.25">
      <c r="B2" s="1" t="s">
        <v>962</v>
      </c>
    </row>
    <row r="3" spans="2:2" x14ac:dyDescent="0.25">
      <c r="B3" s="2" t="s">
        <v>963</v>
      </c>
    </row>
    <row r="4" spans="2:2" x14ac:dyDescent="0.25">
      <c r="B4" s="2" t="s">
        <v>2</v>
      </c>
    </row>
    <row r="6" spans="2:11" x14ac:dyDescent="0.25">
      <c r="B6" s="3" t="s">
        <v>964</v>
      </c>
      <c r="C6" s="4"/>
      <c r="D6" s="4"/>
      <c r="E6" s="4"/>
      <c r="F6" s="4"/>
      <c r="G6" s="4"/>
      <c r="H6" s="4"/>
      <c r="I6" s="4"/>
      <c r="J6" s="4"/>
      <c r="K6" s="4"/>
    </row>
    <row r="7" spans="2:11" x14ac:dyDescent="0.25">
      <c r="B7" s="4"/>
      <c r="C7" s="3" t="s">
        <v>4</v>
      </c>
      <c r="D7" s="5" t="s">
        <v>965</v>
      </c>
      <c r="E7" s="5" t="s">
        <v>966</v>
      </c>
      <c r="F7" s="5" t="s">
        <v>322</v>
      </c>
      <c r="G7" s="5" t="s">
        <v>967</v>
      </c>
      <c r="H7" s="5" t="s">
        <v>968</v>
      </c>
      <c r="I7" s="4"/>
      <c r="J7" s="4"/>
      <c r="K7" s="3" t="s">
        <v>6</v>
      </c>
    </row>
    <row r="8" spans="2:8" x14ac:dyDescent="0.25">
      <c r="B8" s="2" t="s">
        <v>71</v>
      </c>
      <c r="C8" s="2" t="s">
        <v>54</v>
      </c>
      <c r="D8" s="15">
        <f>Inputs!$D$172+Inputs!$D$237*Inputs!$D$231</f>
      </c>
      <c r="E8" s="15">
        <f>Inputs!$D$172+Inputs!$E$237*Inputs!$D$231</f>
      </c>
      <c r="F8" s="15">
        <f>Inputs!$D$172+Inputs!$F$237*Inputs!$D$231</f>
      </c>
      <c r="G8" s="15">
        <f>Inputs!$D$172+Inputs!$G$237*Inputs!$D$231</f>
      </c>
      <c r="H8" s="15">
        <f>Inputs!$D$172+Inputs!$H$237*Inputs!$D$231</f>
      </c>
    </row>
    <row r="9" spans="2:8" x14ac:dyDescent="0.25">
      <c r="B9" s="2" t="s">
        <v>969</v>
      </c>
      <c r="C9" s="2" t="s">
        <v>14</v>
      </c>
      <c r="D9" s="20">
        <f>'Operating Model'!$I$9*(1+$D$8)</f>
      </c>
      <c r="E9" s="20">
        <f>'Operating Model'!$I$9*(1+$E$8)</f>
      </c>
      <c r="F9" s="20">
        <f>'Operating Model'!$I$9*(1+$F$8)</f>
      </c>
      <c r="G9" s="20">
        <f>'Operating Model'!$I$9*(1+$G$8)</f>
      </c>
      <c r="H9" s="20">
        <f>'Operating Model'!$I$9*(1+$H$8)</f>
      </c>
    </row>
    <row r="10" spans="2:8" x14ac:dyDescent="0.25">
      <c r="B10" s="2" t="s">
        <v>653</v>
      </c>
      <c r="C10" s="2" t="s">
        <v>14</v>
      </c>
      <c r="D10" s="20">
        <f>$D$9*(Inputs!$I$183-Inputs!$I$184+Inputs!$I$185)</f>
      </c>
      <c r="E10" s="20">
        <f>$E$9*(Inputs!$I$183-Inputs!$I$184+Inputs!$I$185)</f>
      </c>
      <c r="F10" s="20">
        <f>$F$9*(Inputs!$I$183-Inputs!$I$184+Inputs!$I$185)</f>
      </c>
      <c r="G10" s="20">
        <f>$G$9*(Inputs!$I$183-Inputs!$I$184+Inputs!$I$185)</f>
      </c>
      <c r="H10" s="20">
        <f>$H$9*(Inputs!$I$183-Inputs!$I$184+Inputs!$I$185)</f>
      </c>
    </row>
    <row r="11" spans="2:8" x14ac:dyDescent="0.25">
      <c r="B11" s="2" t="s">
        <v>656</v>
      </c>
      <c r="C11" s="2" t="s">
        <v>14</v>
      </c>
      <c r="D11" s="20">
        <f>IF(Inputs!$D$180="ppe_rollforward",Inputs!$I$187*'Operating Model'!$I$22,$D$9*Inputs!$I$186)</f>
      </c>
      <c r="E11" s="20">
        <f>IF(Inputs!$D$180="ppe_rollforward",Inputs!$I$187*'Operating Model'!$I$22,$E$9*Inputs!$I$186)</f>
      </c>
      <c r="F11" s="20">
        <f>IF(Inputs!$D$180="ppe_rollforward",Inputs!$I$187*'Operating Model'!$I$22,$F$9*Inputs!$I$186)</f>
      </c>
      <c r="G11" s="20">
        <f>IF(Inputs!$D$180="ppe_rollforward",Inputs!$I$187*'Operating Model'!$I$22,$G$9*Inputs!$I$186)</f>
      </c>
      <c r="H11" s="20">
        <f>IF(Inputs!$D$180="ppe_rollforward",Inputs!$I$187*'Operating Model'!$I$22,$H$9*Inputs!$I$186)</f>
      </c>
    </row>
    <row r="12" spans="2:8" x14ac:dyDescent="0.25">
      <c r="B12" s="2" t="s">
        <v>301</v>
      </c>
      <c r="C12" s="2" t="s">
        <v>14</v>
      </c>
      <c r="D12" s="20">
        <f>IF(Inputs!$D$180="ppe_rollforward",$D$9*Inputs!$I$188,0)</f>
      </c>
      <c r="E12" s="20">
        <f>IF(Inputs!$D$180="ppe_rollforward",$E$9*Inputs!$I$188,0)</f>
      </c>
      <c r="F12" s="20">
        <f>IF(Inputs!$D$180="ppe_rollforward",$F$9*Inputs!$I$188,0)</f>
      </c>
      <c r="G12" s="20">
        <f>IF(Inputs!$D$180="ppe_rollforward",$G$9*Inputs!$I$188,0)</f>
      </c>
      <c r="H12" s="20">
        <f>IF(Inputs!$D$180="ppe_rollforward",$H$9*Inputs!$I$188,0)</f>
      </c>
    </row>
    <row r="13" spans="2:8" x14ac:dyDescent="0.25">
      <c r="B13" s="2" t="s">
        <v>194</v>
      </c>
      <c r="C13" s="2" t="s">
        <v>14</v>
      </c>
      <c r="D13" s="20">
        <f>$D$9*Inputs!$I$189</f>
      </c>
      <c r="E13" s="20">
        <f>$E$9*Inputs!$I$189</f>
      </c>
      <c r="F13" s="20">
        <f>$F$9*Inputs!$I$189</f>
      </c>
      <c r="G13" s="20">
        <f>$G$9*Inputs!$I$189</f>
      </c>
      <c r="H13" s="20">
        <f>$H$9*Inputs!$I$189</f>
      </c>
    </row>
    <row r="14" spans="2:8" x14ac:dyDescent="0.25">
      <c r="B14" s="2" t="s">
        <v>665</v>
      </c>
      <c r="C14" s="2" t="s">
        <v>14</v>
      </c>
      <c r="D14" s="20">
        <f>($D$10-$D$11-$D$12)*(1-Inputs!$I$196)</f>
      </c>
      <c r="E14" s="20">
        <f>($E$10-$E$11-$E$12)*(1-Inputs!$I$196)</f>
      </c>
      <c r="F14" s="20">
        <f>($F$10-$F$11-$F$12)*(1-Inputs!$I$196)</f>
      </c>
      <c r="G14" s="20">
        <f>($G$10-$G$11-$G$12)*(1-Inputs!$I$196)</f>
      </c>
      <c r="H14" s="20">
        <f>($H$10-$H$11-$H$12)*(1-Inputs!$I$196)</f>
      </c>
    </row>
    <row r="15" spans="2:8" x14ac:dyDescent="0.25">
      <c r="B15" s="2" t="s">
        <v>673</v>
      </c>
      <c r="C15" s="2" t="s">
        <v>14</v>
      </c>
      <c r="D15" s="20">
        <f>$D$9*Inputs!$I$191/Inputs!$D$18+$D$9*(1-Inputs!$I$183)*Inputs!$I$192/Inputs!$D$18+$D$9*Inputs!$I$194-$D$9*(1-Inputs!$I$183)*Inputs!$I$193/Inputs!$D$18-$D$9*Inputs!$I$195</f>
      </c>
      <c r="E15" s="20">
        <f>$E$9*Inputs!$I$191/Inputs!$D$18+$E$9*(1-Inputs!$I$183)*Inputs!$I$192/Inputs!$D$18+$E$9*Inputs!$I$194-$E$9*(1-Inputs!$I$183)*Inputs!$I$193/Inputs!$D$18-$E$9*Inputs!$I$195</f>
      </c>
      <c r="F15" s="20">
        <f>$F$9*Inputs!$I$191/Inputs!$D$18+$F$9*(1-Inputs!$I$183)*Inputs!$I$192/Inputs!$D$18+$F$9*Inputs!$I$194-$F$9*(1-Inputs!$I$183)*Inputs!$I$193/Inputs!$D$18-$F$9*Inputs!$I$195</f>
      </c>
      <c r="G15" s="20">
        <f>$G$9*Inputs!$I$191/Inputs!$D$18+$G$9*(1-Inputs!$I$183)*Inputs!$I$192/Inputs!$D$18+$G$9*Inputs!$I$194-$G$9*(1-Inputs!$I$183)*Inputs!$I$193/Inputs!$D$18-$G$9*Inputs!$I$195</f>
      </c>
      <c r="H15" s="20">
        <f>$H$9*Inputs!$I$191/Inputs!$D$18+$H$9*(1-Inputs!$I$183)*Inputs!$I$192/Inputs!$D$18+$H$9*Inputs!$I$194-$H$9*(1-Inputs!$I$183)*Inputs!$I$193/Inputs!$D$18-$H$9*Inputs!$I$195</f>
      </c>
    </row>
    <row r="16" spans="2:8" x14ac:dyDescent="0.25">
      <c r="B16" s="2" t="s">
        <v>970</v>
      </c>
      <c r="C16" s="2" t="s">
        <v>14</v>
      </c>
      <c r="D16" s="20">
        <f>IF(Inputs!$D$200=1,Inputs!$D$201*'Operating Model'!$I$40,0)</f>
      </c>
      <c r="E16" s="20">
        <f>IF(Inputs!$D$200=1,Inputs!$D$201*'Operating Model'!$I$40,0)</f>
      </c>
      <c r="F16" s="20">
        <f>IF(Inputs!$D$200=1,Inputs!$D$201*'Operating Model'!$I$40,0)</f>
      </c>
      <c r="G16" s="20">
        <f>IF(Inputs!$D$200=1,Inputs!$D$201*'Operating Model'!$I$40,0)</f>
      </c>
      <c r="H16" s="20">
        <f>IF(Inputs!$D$200=1,Inputs!$D$201*'Operating Model'!$I$40,0)</f>
      </c>
    </row>
    <row r="17" spans="2:8" x14ac:dyDescent="0.25">
      <c r="B17" s="9" t="s">
        <v>748</v>
      </c>
      <c r="C17" s="2" t="s">
        <v>14</v>
      </c>
      <c r="D17" s="35">
        <f>$D$14+$D$11+$D$12-$D$13-($D$15-'Operating Model'!$I$38)-$D$16</f>
      </c>
      <c r="E17" s="35">
        <f>$E$14+$E$11+$E$12-$E$13-($E$15-'Operating Model'!$I$38)-$E$16</f>
      </c>
      <c r="F17" s="35">
        <f>$F$14+$F$11+$F$12-$F$13-($F$15-'Operating Model'!$I$38)-$F$16</f>
      </c>
      <c r="G17" s="35">
        <f>$G$14+$G$11+$G$12-$G$13-($G$15-'Operating Model'!$I$38)-$G$16</f>
      </c>
      <c r="H17" s="35">
        <f>$H$14+$H$11+$H$12-$H$13-($H$15-'Operating Model'!$I$38)-$H$16</f>
      </c>
    </row>
    <row r="19" spans="2:11" x14ac:dyDescent="0.25">
      <c r="B19" s="3" t="s">
        <v>971</v>
      </c>
      <c r="C19" s="4"/>
      <c r="D19" s="4"/>
      <c r="E19" s="4"/>
      <c r="F19" s="4"/>
      <c r="G19" s="4"/>
      <c r="H19" s="4"/>
      <c r="I19" s="4"/>
      <c r="J19" s="4"/>
      <c r="K19" s="4"/>
    </row>
    <row r="20" spans="2:11" x14ac:dyDescent="0.25">
      <c r="B20" s="4"/>
      <c r="C20" s="3" t="s">
        <v>972</v>
      </c>
      <c r="D20" s="41">
        <f>$D$8</f>
      </c>
      <c r="E20" s="41">
        <f>$E$8</f>
      </c>
      <c r="F20" s="41">
        <f>$F$8</f>
      </c>
      <c r="G20" s="41">
        <f>$G$8</f>
      </c>
      <c r="H20" s="41">
        <f>$H$8</f>
      </c>
      <c r="I20" s="4"/>
      <c r="J20" s="4"/>
      <c r="K20" s="3" t="s">
        <v>6</v>
      </c>
    </row>
    <row r="21" spans="2:8" x14ac:dyDescent="0.25">
      <c r="B21" s="2" t="s">
        <v>4</v>
      </c>
      <c r="C21" s="15">
        <f>WACC!$D$54+Inputs!$D$237*Inputs!$D$230</f>
      </c>
      <c r="D21" s="8">
        <f>IF($D$20&lt;$C$21,(SUMPRODUCT(DCF!$D$15:$H$15,(1+$C$21)^(-DCF!$D$12:$H$12))+$D$17/($C$21-$D$20)*(1+$C$21)^(-DCF!$D$21)+DCF!$D$51)/Inputs!$D$15,"n/a")</f>
      </c>
      <c r="E21" s="8">
        <f>IF($E$20&lt;$C$21,(SUMPRODUCT(DCF!$D$15:$H$15,(1+$C$21)^(-DCF!$D$12:$H$12))+$E$17/($C$21-$E$20)*(1+$C$21)^(-DCF!$D$21)+DCF!$D$51)/Inputs!$D$15,"n/a")</f>
      </c>
      <c r="F21" s="8">
        <f>IF($F$20&lt;$C$21,(SUMPRODUCT(DCF!$D$15:$H$15,(1+$C$21)^(-DCF!$D$12:$H$12))+$F$17/($C$21-$F$20)*(1+$C$21)^(-DCF!$D$21)+DCF!$D$51)/Inputs!$D$15,"n/a")</f>
      </c>
      <c r="G21" s="8">
        <f>IF($G$20&lt;$C$21,(SUMPRODUCT(DCF!$D$15:$H$15,(1+$C$21)^(-DCF!$D$12:$H$12))+$G$17/($C$21-$G$20)*(1+$C$21)^(-DCF!$D$21)+DCF!$D$51)/Inputs!$D$15,"n/a")</f>
      </c>
      <c r="H21" s="8">
        <f>IF($H$20&lt;$C$21,(SUMPRODUCT(DCF!$D$15:$H$15,(1+$C$21)^(-DCF!$D$12:$H$12))+$H$17/($C$21-$H$20)*(1+$C$21)^(-DCF!$D$21)+DCF!$D$51)/Inputs!$D$15,"n/a")</f>
      </c>
    </row>
    <row r="22" spans="2:8" x14ac:dyDescent="0.25">
      <c r="B22" s="2" t="s">
        <v>4</v>
      </c>
      <c r="C22" s="15">
        <f>WACC!$D$54+Inputs!$E$237*Inputs!$D$230</f>
      </c>
      <c r="D22" s="8">
        <f>IF($D$20&lt;$C$22,(SUMPRODUCT(DCF!$D$15:$H$15,(1+$C$22)^(-DCF!$D$12:$H$12))+$D$17/($C$22-$D$20)*(1+$C$22)^(-DCF!$D$21)+DCF!$D$51)/Inputs!$D$15,"n/a")</f>
      </c>
      <c r="E22" s="8">
        <f>IF($E$20&lt;$C$22,(SUMPRODUCT(DCF!$D$15:$H$15,(1+$C$22)^(-DCF!$D$12:$H$12))+$E$17/($C$22-$E$20)*(1+$C$22)^(-DCF!$D$21)+DCF!$D$51)/Inputs!$D$15,"n/a")</f>
      </c>
      <c r="F22" s="8">
        <f>IF($F$20&lt;$C$22,(SUMPRODUCT(DCF!$D$15:$H$15,(1+$C$22)^(-DCF!$D$12:$H$12))+$F$17/($C$22-$F$20)*(1+$C$22)^(-DCF!$D$21)+DCF!$D$51)/Inputs!$D$15,"n/a")</f>
      </c>
      <c r="G22" s="8">
        <f>IF($G$20&lt;$C$22,(SUMPRODUCT(DCF!$D$15:$H$15,(1+$C$22)^(-DCF!$D$12:$H$12))+$G$17/($C$22-$G$20)*(1+$C$22)^(-DCF!$D$21)+DCF!$D$51)/Inputs!$D$15,"n/a")</f>
      </c>
      <c r="H22" s="8">
        <f>IF($H$20&lt;$C$22,(SUMPRODUCT(DCF!$D$15:$H$15,(1+$C$22)^(-DCF!$D$12:$H$12))+$H$17/($C$22-$H$20)*(1+$C$22)^(-DCF!$D$21)+DCF!$D$51)/Inputs!$D$15,"n/a")</f>
      </c>
    </row>
    <row r="23" spans="2:8" x14ac:dyDescent="0.25">
      <c r="B23" s="2" t="s">
        <v>4</v>
      </c>
      <c r="C23" s="15">
        <f>WACC!$D$54+Inputs!$F$237*Inputs!$D$230</f>
      </c>
      <c r="D23" s="8">
        <f>IF($D$20&lt;$C$23,(SUMPRODUCT(DCF!$D$15:$H$15,(1+$C$23)^(-DCF!$D$12:$H$12))+$D$17/($C$23-$D$20)*(1+$C$23)^(-DCF!$D$21)+DCF!$D$51)/Inputs!$D$15,"n/a")</f>
      </c>
      <c r="E23" s="8">
        <f>IF($E$20&lt;$C$23,(SUMPRODUCT(DCF!$D$15:$H$15,(1+$C$23)^(-DCF!$D$12:$H$12))+$E$17/($C$23-$E$20)*(1+$C$23)^(-DCF!$D$21)+DCF!$D$51)/Inputs!$D$15,"n/a")</f>
      </c>
      <c r="F23" s="8">
        <f>IF($F$20&lt;$C$23,(SUMPRODUCT(DCF!$D$15:$H$15,(1+$C$23)^(-DCF!$D$12:$H$12))+$F$17/($C$23-$F$20)*(1+$C$23)^(-DCF!$D$21)+DCF!$D$51)/Inputs!$D$15,"n/a")</f>
      </c>
      <c r="G23" s="8">
        <f>IF($G$20&lt;$C$23,(SUMPRODUCT(DCF!$D$15:$H$15,(1+$C$23)^(-DCF!$D$12:$H$12))+$G$17/($C$23-$G$20)*(1+$C$23)^(-DCF!$D$21)+DCF!$D$51)/Inputs!$D$15,"n/a")</f>
      </c>
      <c r="H23" s="8">
        <f>IF($H$20&lt;$C$23,(SUMPRODUCT(DCF!$D$15:$H$15,(1+$C$23)^(-DCF!$D$12:$H$12))+$H$17/($C$23-$H$20)*(1+$C$23)^(-DCF!$D$21)+DCF!$D$51)/Inputs!$D$15,"n/a")</f>
      </c>
    </row>
    <row r="24" spans="2:8" x14ac:dyDescent="0.25">
      <c r="B24" s="2" t="s">
        <v>4</v>
      </c>
      <c r="C24" s="15">
        <f>WACC!$D$54+Inputs!$G$237*Inputs!$D$230</f>
      </c>
      <c r="D24" s="8">
        <f>IF($D$20&lt;$C$24,(SUMPRODUCT(DCF!$D$15:$H$15,(1+$C$24)^(-DCF!$D$12:$H$12))+$D$17/($C$24-$D$20)*(1+$C$24)^(-DCF!$D$21)+DCF!$D$51)/Inputs!$D$15,"n/a")</f>
      </c>
      <c r="E24" s="8">
        <f>IF($E$20&lt;$C$24,(SUMPRODUCT(DCF!$D$15:$H$15,(1+$C$24)^(-DCF!$D$12:$H$12))+$E$17/($C$24-$E$20)*(1+$C$24)^(-DCF!$D$21)+DCF!$D$51)/Inputs!$D$15,"n/a")</f>
      </c>
      <c r="F24" s="8">
        <f>IF($F$20&lt;$C$24,(SUMPRODUCT(DCF!$D$15:$H$15,(1+$C$24)^(-DCF!$D$12:$H$12))+$F$17/($C$24-$F$20)*(1+$C$24)^(-DCF!$D$21)+DCF!$D$51)/Inputs!$D$15,"n/a")</f>
      </c>
      <c r="G24" s="8">
        <f>IF($G$20&lt;$C$24,(SUMPRODUCT(DCF!$D$15:$H$15,(1+$C$24)^(-DCF!$D$12:$H$12))+$G$17/($C$24-$G$20)*(1+$C$24)^(-DCF!$D$21)+DCF!$D$51)/Inputs!$D$15,"n/a")</f>
      </c>
      <c r="H24" s="8">
        <f>IF($H$20&lt;$C$24,(SUMPRODUCT(DCF!$D$15:$H$15,(1+$C$24)^(-DCF!$D$12:$H$12))+$H$17/($C$24-$H$20)*(1+$C$24)^(-DCF!$D$21)+DCF!$D$51)/Inputs!$D$15,"n/a")</f>
      </c>
    </row>
    <row r="25" spans="2:8" x14ac:dyDescent="0.25">
      <c r="B25" s="2" t="s">
        <v>4</v>
      </c>
      <c r="C25" s="15">
        <f>WACC!$D$54+Inputs!$H$237*Inputs!$D$230</f>
      </c>
      <c r="D25" s="8">
        <f>IF($D$20&lt;$C$25,(SUMPRODUCT(DCF!$D$15:$H$15,(1+$C$25)^(-DCF!$D$12:$H$12))+$D$17/($C$25-$D$20)*(1+$C$25)^(-DCF!$D$21)+DCF!$D$51)/Inputs!$D$15,"n/a")</f>
      </c>
      <c r="E25" s="8">
        <f>IF($E$20&lt;$C$25,(SUMPRODUCT(DCF!$D$15:$H$15,(1+$C$25)^(-DCF!$D$12:$H$12))+$E$17/($C$25-$E$20)*(1+$C$25)^(-DCF!$D$21)+DCF!$D$51)/Inputs!$D$15,"n/a")</f>
      </c>
      <c r="F25" s="8">
        <f>IF($F$20&lt;$C$25,(SUMPRODUCT(DCF!$D$15:$H$15,(1+$C$25)^(-DCF!$D$12:$H$12))+$F$17/($C$25-$F$20)*(1+$C$25)^(-DCF!$D$21)+DCF!$D$51)/Inputs!$D$15,"n/a")</f>
      </c>
      <c r="G25" s="8">
        <f>IF($G$20&lt;$C$25,(SUMPRODUCT(DCF!$D$15:$H$15,(1+$C$25)^(-DCF!$D$12:$H$12))+$G$17/($C$25-$G$20)*(1+$C$25)^(-DCF!$D$21)+DCF!$D$51)/Inputs!$D$15,"n/a")</f>
      </c>
      <c r="H25" s="8">
        <f>IF($H$20&lt;$C$25,(SUMPRODUCT(DCF!$D$15:$H$15,(1+$C$25)^(-DCF!$D$12:$H$12))+$H$17/($C$25-$H$20)*(1+$C$25)^(-DCF!$D$21)+DCF!$D$51)/Inputs!$D$15,"n/a")</f>
      </c>
    </row>
    <row r="27" spans="2:11" x14ac:dyDescent="0.25">
      <c r="B27" s="3" t="s">
        <v>973</v>
      </c>
      <c r="C27" s="4"/>
      <c r="D27" s="4"/>
      <c r="E27" s="4"/>
      <c r="F27" s="4"/>
      <c r="G27" s="4"/>
      <c r="H27" s="4"/>
      <c r="I27" s="4"/>
      <c r="J27" s="4"/>
      <c r="K27" s="4"/>
    </row>
    <row r="28" spans="2:11" x14ac:dyDescent="0.25">
      <c r="B28" s="4"/>
      <c r="C28" s="3" t="s">
        <v>974</v>
      </c>
      <c r="D28" s="42">
        <f>Inputs!$D$173+Inputs!$D$237*Inputs!$D$232</f>
      </c>
      <c r="E28" s="42">
        <f>Inputs!$D$173+Inputs!$E$237*Inputs!$D$232</f>
      </c>
      <c r="F28" s="42">
        <f>Inputs!$D$173+Inputs!$F$237*Inputs!$D$232</f>
      </c>
      <c r="G28" s="42">
        <f>Inputs!$D$173+Inputs!$G$237*Inputs!$D$232</f>
      </c>
      <c r="H28" s="42">
        <f>Inputs!$D$173+Inputs!$H$237*Inputs!$D$232</f>
      </c>
      <c r="I28" s="4"/>
      <c r="J28" s="4"/>
      <c r="K28" s="3" t="s">
        <v>6</v>
      </c>
    </row>
    <row r="29" spans="2:8" x14ac:dyDescent="0.25">
      <c r="B29" s="2" t="s">
        <v>4</v>
      </c>
      <c r="C29" s="15">
        <f>WACC!$D$54+Inputs!$D$237*Inputs!$D$230</f>
      </c>
      <c r="D29" s="8">
        <f>(SUMPRODUCT(DCF!$D$15:$H$15,(1+$C$29)^(-DCF!$D$12:$H$12))+'Operating Model'!$I$16*$D$28*(1+$C$29)^(-DCF!$D$21)+DCF!$D$51)/Inputs!$D$15</f>
      </c>
      <c r="E29" s="8">
        <f>(SUMPRODUCT(DCF!$D$15:$H$15,(1+$C$29)^(-DCF!$D$12:$H$12))+'Operating Model'!$I$16*$E$28*(1+$C$29)^(-DCF!$D$21)+DCF!$D$51)/Inputs!$D$15</f>
      </c>
      <c r="F29" s="8">
        <f>(SUMPRODUCT(DCF!$D$15:$H$15,(1+$C$29)^(-DCF!$D$12:$H$12))+'Operating Model'!$I$16*$F$28*(1+$C$29)^(-DCF!$D$21)+DCF!$D$51)/Inputs!$D$15</f>
      </c>
      <c r="G29" s="8">
        <f>(SUMPRODUCT(DCF!$D$15:$H$15,(1+$C$29)^(-DCF!$D$12:$H$12))+'Operating Model'!$I$16*$G$28*(1+$C$29)^(-DCF!$D$21)+DCF!$D$51)/Inputs!$D$15</f>
      </c>
      <c r="H29" s="8">
        <f>(SUMPRODUCT(DCF!$D$15:$H$15,(1+$C$29)^(-DCF!$D$12:$H$12))+'Operating Model'!$I$16*$H$28*(1+$C$29)^(-DCF!$D$21)+DCF!$D$51)/Inputs!$D$15</f>
      </c>
    </row>
    <row r="30" spans="2:8" x14ac:dyDescent="0.25">
      <c r="B30" s="2" t="s">
        <v>4</v>
      </c>
      <c r="C30" s="15">
        <f>WACC!$D$54+Inputs!$E$237*Inputs!$D$230</f>
      </c>
      <c r="D30" s="8">
        <f>(SUMPRODUCT(DCF!$D$15:$H$15,(1+$C$30)^(-DCF!$D$12:$H$12))+'Operating Model'!$I$16*$D$28*(1+$C$30)^(-DCF!$D$21)+DCF!$D$51)/Inputs!$D$15</f>
      </c>
      <c r="E30" s="8">
        <f>(SUMPRODUCT(DCF!$D$15:$H$15,(1+$C$30)^(-DCF!$D$12:$H$12))+'Operating Model'!$I$16*$E$28*(1+$C$30)^(-DCF!$D$21)+DCF!$D$51)/Inputs!$D$15</f>
      </c>
      <c r="F30" s="8">
        <f>(SUMPRODUCT(DCF!$D$15:$H$15,(1+$C$30)^(-DCF!$D$12:$H$12))+'Operating Model'!$I$16*$F$28*(1+$C$30)^(-DCF!$D$21)+DCF!$D$51)/Inputs!$D$15</f>
      </c>
      <c r="G30" s="8">
        <f>(SUMPRODUCT(DCF!$D$15:$H$15,(1+$C$30)^(-DCF!$D$12:$H$12))+'Operating Model'!$I$16*$G$28*(1+$C$30)^(-DCF!$D$21)+DCF!$D$51)/Inputs!$D$15</f>
      </c>
      <c r="H30" s="8">
        <f>(SUMPRODUCT(DCF!$D$15:$H$15,(1+$C$30)^(-DCF!$D$12:$H$12))+'Operating Model'!$I$16*$H$28*(1+$C$30)^(-DCF!$D$21)+DCF!$D$51)/Inputs!$D$15</f>
      </c>
    </row>
    <row r="31" spans="2:8" x14ac:dyDescent="0.25">
      <c r="B31" s="2" t="s">
        <v>4</v>
      </c>
      <c r="C31" s="15">
        <f>WACC!$D$54+Inputs!$F$237*Inputs!$D$230</f>
      </c>
      <c r="D31" s="8">
        <f>(SUMPRODUCT(DCF!$D$15:$H$15,(1+$C$31)^(-DCF!$D$12:$H$12))+'Operating Model'!$I$16*$D$28*(1+$C$31)^(-DCF!$D$21)+DCF!$D$51)/Inputs!$D$15</f>
      </c>
      <c r="E31" s="8">
        <f>(SUMPRODUCT(DCF!$D$15:$H$15,(1+$C$31)^(-DCF!$D$12:$H$12))+'Operating Model'!$I$16*$E$28*(1+$C$31)^(-DCF!$D$21)+DCF!$D$51)/Inputs!$D$15</f>
      </c>
      <c r="F31" s="8">
        <f>(SUMPRODUCT(DCF!$D$15:$H$15,(1+$C$31)^(-DCF!$D$12:$H$12))+'Operating Model'!$I$16*$F$28*(1+$C$31)^(-DCF!$D$21)+DCF!$D$51)/Inputs!$D$15</f>
      </c>
      <c r="G31" s="8">
        <f>(SUMPRODUCT(DCF!$D$15:$H$15,(1+$C$31)^(-DCF!$D$12:$H$12))+'Operating Model'!$I$16*$G$28*(1+$C$31)^(-DCF!$D$21)+DCF!$D$51)/Inputs!$D$15</f>
      </c>
      <c r="H31" s="8">
        <f>(SUMPRODUCT(DCF!$D$15:$H$15,(1+$C$31)^(-DCF!$D$12:$H$12))+'Operating Model'!$I$16*$H$28*(1+$C$31)^(-DCF!$D$21)+DCF!$D$51)/Inputs!$D$15</f>
      </c>
    </row>
    <row r="32" spans="2:8" x14ac:dyDescent="0.25">
      <c r="B32" s="2" t="s">
        <v>4</v>
      </c>
      <c r="C32" s="15">
        <f>WACC!$D$54+Inputs!$G$237*Inputs!$D$230</f>
      </c>
      <c r="D32" s="8">
        <f>(SUMPRODUCT(DCF!$D$15:$H$15,(1+$C$32)^(-DCF!$D$12:$H$12))+'Operating Model'!$I$16*$D$28*(1+$C$32)^(-DCF!$D$21)+DCF!$D$51)/Inputs!$D$15</f>
      </c>
      <c r="E32" s="8">
        <f>(SUMPRODUCT(DCF!$D$15:$H$15,(1+$C$32)^(-DCF!$D$12:$H$12))+'Operating Model'!$I$16*$E$28*(1+$C$32)^(-DCF!$D$21)+DCF!$D$51)/Inputs!$D$15</f>
      </c>
      <c r="F32" s="8">
        <f>(SUMPRODUCT(DCF!$D$15:$H$15,(1+$C$32)^(-DCF!$D$12:$H$12))+'Operating Model'!$I$16*$F$28*(1+$C$32)^(-DCF!$D$21)+DCF!$D$51)/Inputs!$D$15</f>
      </c>
      <c r="G32" s="8">
        <f>(SUMPRODUCT(DCF!$D$15:$H$15,(1+$C$32)^(-DCF!$D$12:$H$12))+'Operating Model'!$I$16*$G$28*(1+$C$32)^(-DCF!$D$21)+DCF!$D$51)/Inputs!$D$15</f>
      </c>
      <c r="H32" s="8">
        <f>(SUMPRODUCT(DCF!$D$15:$H$15,(1+$C$32)^(-DCF!$D$12:$H$12))+'Operating Model'!$I$16*$H$28*(1+$C$32)^(-DCF!$D$21)+DCF!$D$51)/Inputs!$D$15</f>
      </c>
    </row>
    <row r="33" spans="2:8" x14ac:dyDescent="0.25">
      <c r="B33" s="2" t="s">
        <v>4</v>
      </c>
      <c r="C33" s="15">
        <f>WACC!$D$54+Inputs!$H$237*Inputs!$D$230</f>
      </c>
      <c r="D33" s="8">
        <f>(SUMPRODUCT(DCF!$D$15:$H$15,(1+$C$33)^(-DCF!$D$12:$H$12))+'Operating Model'!$I$16*$D$28*(1+$C$33)^(-DCF!$D$21)+DCF!$D$51)/Inputs!$D$15</f>
      </c>
      <c r="E33" s="8">
        <f>(SUMPRODUCT(DCF!$D$15:$H$15,(1+$C$33)^(-DCF!$D$12:$H$12))+'Operating Model'!$I$16*$E$28*(1+$C$33)^(-DCF!$D$21)+DCF!$D$51)/Inputs!$D$15</f>
      </c>
      <c r="F33" s="8">
        <f>(SUMPRODUCT(DCF!$D$15:$H$15,(1+$C$33)^(-DCF!$D$12:$H$12))+'Operating Model'!$I$16*$F$28*(1+$C$33)^(-DCF!$D$21)+DCF!$D$51)/Inputs!$D$15</f>
      </c>
      <c r="G33" s="8">
        <f>(SUMPRODUCT(DCF!$D$15:$H$15,(1+$C$33)^(-DCF!$D$12:$H$12))+'Operating Model'!$I$16*$G$28*(1+$C$33)^(-DCF!$D$21)+DCF!$D$51)/Inputs!$D$15</f>
      </c>
      <c r="H33" s="8">
        <f>(SUMPRODUCT(DCF!$D$15:$H$15,(1+$C$33)^(-DCF!$D$12:$H$12))+'Operating Model'!$I$16*$H$28*(1+$C$33)^(-DCF!$D$21)+DCF!$D$51)/Inputs!$D$15</f>
      </c>
    </row>
    <row r="35" spans="2:11" x14ac:dyDescent="0.25">
      <c r="B35" s="3" t="s">
        <v>975</v>
      </c>
      <c r="C35" s="4"/>
      <c r="D35" s="4"/>
      <c r="E35" s="4"/>
      <c r="F35" s="4"/>
      <c r="G35" s="4"/>
      <c r="H35" s="4"/>
      <c r="I35" s="4"/>
      <c r="J35" s="4"/>
      <c r="K35" s="4"/>
    </row>
    <row r="36" spans="2:11" x14ac:dyDescent="0.25">
      <c r="B36" s="4"/>
      <c r="C36" s="3" t="s">
        <v>976</v>
      </c>
      <c r="D36" s="41">
        <f>Inputs!$D$237*Inputs!$D$234</f>
      </c>
      <c r="E36" s="41">
        <f>Inputs!$E$237*Inputs!$D$234</f>
      </c>
      <c r="F36" s="41">
        <f>Inputs!$F$237*Inputs!$D$234</f>
      </c>
      <c r="G36" s="41">
        <f>Inputs!$G$237*Inputs!$D$234</f>
      </c>
      <c r="H36" s="41">
        <f>Inputs!$H$237*Inputs!$D$234</f>
      </c>
      <c r="I36" s="4"/>
      <c r="J36" s="4"/>
      <c r="K36" s="3" t="s">
        <v>6</v>
      </c>
    </row>
    <row r="37" spans="2:8" x14ac:dyDescent="0.25">
      <c r="B37" s="2" t="s">
        <v>4</v>
      </c>
      <c r="C37" s="15">
        <f>Inputs!$D$237*Inputs!$D$233</f>
      </c>
      <c r="D37" s="8">
        <f>Sensitivity!$D$86</f>
      </c>
      <c r="E37" s="8">
        <f>Sensitivity!$D$120</f>
      </c>
      <c r="F37" s="8">
        <f>Sensitivity!$D$154</f>
      </c>
      <c r="G37" s="8">
        <f>Sensitivity!$D$188</f>
      </c>
      <c r="H37" s="8">
        <f>Sensitivity!$D$222</f>
      </c>
    </row>
    <row r="38" spans="2:8" x14ac:dyDescent="0.25">
      <c r="B38" s="2" t="s">
        <v>4</v>
      </c>
      <c r="C38" s="15">
        <f>Inputs!$E$237*Inputs!$D$233</f>
      </c>
      <c r="D38" s="8">
        <f>Sensitivity!$D$256</f>
      </c>
      <c r="E38" s="8">
        <f>Sensitivity!$D$290</f>
      </c>
      <c r="F38" s="8">
        <f>Sensitivity!$D$324</f>
      </c>
      <c r="G38" s="8">
        <f>Sensitivity!$D$358</f>
      </c>
      <c r="H38" s="8">
        <f>Sensitivity!$D$392</f>
      </c>
    </row>
    <row r="39" spans="2:8" x14ac:dyDescent="0.25">
      <c r="B39" s="2" t="s">
        <v>4</v>
      </c>
      <c r="C39" s="15">
        <f>Inputs!$F$237*Inputs!$D$233</f>
      </c>
      <c r="D39" s="8">
        <f>Sensitivity!$D$426</f>
      </c>
      <c r="E39" s="8">
        <f>Sensitivity!$D$460</f>
      </c>
      <c r="F39" s="8">
        <f>Sensitivity!$D$494</f>
      </c>
      <c r="G39" s="8">
        <f>Sensitivity!$D$528</f>
      </c>
      <c r="H39" s="8">
        <f>Sensitivity!$D$562</f>
      </c>
    </row>
    <row r="40" spans="2:8" x14ac:dyDescent="0.25">
      <c r="B40" s="2" t="s">
        <v>4</v>
      </c>
      <c r="C40" s="15">
        <f>Inputs!$G$237*Inputs!$D$233</f>
      </c>
      <c r="D40" s="8">
        <f>Sensitivity!$D$596</f>
      </c>
      <c r="E40" s="8">
        <f>Sensitivity!$D$630</f>
      </c>
      <c r="F40" s="8">
        <f>Sensitivity!$D$664</f>
      </c>
      <c r="G40" s="8">
        <f>Sensitivity!$D$698</f>
      </c>
      <c r="H40" s="8">
        <f>Sensitivity!$D$732</f>
      </c>
    </row>
    <row r="41" spans="2:8" x14ac:dyDescent="0.25">
      <c r="B41" s="2" t="s">
        <v>4</v>
      </c>
      <c r="C41" s="15">
        <f>Inputs!$H$237*Inputs!$D$233</f>
      </c>
      <c r="D41" s="8">
        <f>Sensitivity!$D$766</f>
      </c>
      <c r="E41" s="8">
        <f>Sensitivity!$D$800</f>
      </c>
      <c r="F41" s="8">
        <f>Sensitivity!$D$834</f>
      </c>
      <c r="G41" s="8">
        <f>Sensitivity!$D$868</f>
      </c>
      <c r="H41" s="8">
        <f>Sensitivity!$D$902</f>
      </c>
    </row>
    <row r="44" spans="2:11" x14ac:dyDescent="0.25">
      <c r="B44" s="3" t="s">
        <v>977</v>
      </c>
      <c r="C44" s="4"/>
      <c r="D44" s="4"/>
      <c r="E44" s="4"/>
      <c r="F44" s="4"/>
      <c r="G44" s="4"/>
      <c r="H44" s="4"/>
      <c r="I44" s="4"/>
      <c r="J44" s="4"/>
      <c r="K44" s="4"/>
    </row>
    <row r="45" spans="2:11" x14ac:dyDescent="0.25">
      <c r="B45" s="4"/>
      <c r="C45" s="3" t="s">
        <v>978</v>
      </c>
      <c r="D45" s="43">
        <f>WACC!$D$21+Inputs!$D$237*Inputs!$D$236</f>
      </c>
      <c r="E45" s="43">
        <f>WACC!$D$21+Inputs!$E$237*Inputs!$D$236</f>
      </c>
      <c r="F45" s="43">
        <f>WACC!$D$21+Inputs!$F$237*Inputs!$D$236</f>
      </c>
      <c r="G45" s="43">
        <f>WACC!$D$21+Inputs!$G$237*Inputs!$D$236</f>
      </c>
      <c r="H45" s="43">
        <f>WACC!$D$21+Inputs!$H$237*Inputs!$D$236</f>
      </c>
      <c r="I45" s="4"/>
      <c r="J45" s="4"/>
      <c r="K45" s="3" t="s">
        <v>6</v>
      </c>
    </row>
    <row r="46" spans="2:8" x14ac:dyDescent="0.25">
      <c r="B46" s="2" t="s">
        <v>4</v>
      </c>
      <c r="C46" s="15">
        <f>WACC!$D$12+Inputs!$D$237*Inputs!$D$235</f>
      </c>
      <c r="D46" s="8">
        <f>IF(Inputs!$D$171="gordon",IF(Inputs!$D$172&lt;(WACC!$D$52*($C$46+$D$45*WACC!$D$28+WACC!$D$29)+WACC!$D$53*(WACC!$D$47*$C$46+WACC!$D$48)*(1-WACC!$D$44)),(SUMPRODUCT(DCF!$D$15:$H$15,(1+(WACC!$D$52*($C$46+$D$45*WACC!$D$28+WACC!$D$29)+WACC!$D$53*(WACC!$D$47*$C$46+WACC!$D$48)*(1-WACC!$D$44)))^(-DCF!$D$12:$H$12))+'Operating Model'!$J$42/((WACC!$D$52*($C$46+$D$45*WACC!$D$28+WACC!$D$29)+WACC!$D$53*(WACC!$D$47*$C$46+WACC!$D$48)*(1-WACC!$D$44))-Inputs!$D$172)*(1+(WACC!$D$52*($C$46+$D$45*WACC!$D$28+WACC!$D$29)+WACC!$D$53*(WACC!$D$47*$C$46+WACC!$D$48)*(1-WACC!$D$44)))^(-DCF!$D$21)+DCF!$D$51)/Inputs!$D$15,"n/a"),(SUMPRODUCT(DCF!$D$15:$H$15,(1+(WACC!$D$52*($C$46+$D$45*WACC!$D$28+WACC!$D$29)+WACC!$D$53*(WACC!$D$47*$C$46+WACC!$D$48)*(1-WACC!$D$44)))^(-DCF!$D$12:$H$12))+'Operating Model'!$I$16*Inputs!$D$173*(1+(WACC!$D$52*($C$46+$D$45*WACC!$D$28+WACC!$D$29)+WACC!$D$53*(WACC!$D$47*$C$46+WACC!$D$48)*(1-WACC!$D$44)))^(-DCF!$D$21)+DCF!$D$51)/Inputs!$D$15)</f>
      </c>
      <c r="E46" s="8">
        <f>IF(Inputs!$D$171="gordon",IF(Inputs!$D$172&lt;(WACC!$D$52*($C$46+$E$45*WACC!$D$28+WACC!$D$29)+WACC!$D$53*(WACC!$D$47*$C$46+WACC!$D$48)*(1-WACC!$D$44)),(SUMPRODUCT(DCF!$D$15:$H$15,(1+(WACC!$D$52*($C$46+$E$45*WACC!$D$28+WACC!$D$29)+WACC!$D$53*(WACC!$D$47*$C$46+WACC!$D$48)*(1-WACC!$D$44)))^(-DCF!$D$12:$H$12))+'Operating Model'!$J$42/((WACC!$D$52*($C$46+$E$45*WACC!$D$28+WACC!$D$29)+WACC!$D$53*(WACC!$D$47*$C$46+WACC!$D$48)*(1-WACC!$D$44))-Inputs!$D$172)*(1+(WACC!$D$52*($C$46+$E$45*WACC!$D$28+WACC!$D$29)+WACC!$D$53*(WACC!$D$47*$C$46+WACC!$D$48)*(1-WACC!$D$44)))^(-DCF!$D$21)+DCF!$D$51)/Inputs!$D$15,"n/a"),(SUMPRODUCT(DCF!$D$15:$H$15,(1+(WACC!$D$52*($C$46+$E$45*WACC!$D$28+WACC!$D$29)+WACC!$D$53*(WACC!$D$47*$C$46+WACC!$D$48)*(1-WACC!$D$44)))^(-DCF!$D$12:$H$12))+'Operating Model'!$I$16*Inputs!$D$173*(1+(WACC!$D$52*($C$46+$E$45*WACC!$D$28+WACC!$D$29)+WACC!$D$53*(WACC!$D$47*$C$46+WACC!$D$48)*(1-WACC!$D$44)))^(-DCF!$D$21)+DCF!$D$51)/Inputs!$D$15)</f>
      </c>
      <c r="F46" s="8">
        <f>IF(Inputs!$D$171="gordon",IF(Inputs!$D$172&lt;(WACC!$D$52*($C$46+$F$45*WACC!$D$28+WACC!$D$29)+WACC!$D$53*(WACC!$D$47*$C$46+WACC!$D$48)*(1-WACC!$D$44)),(SUMPRODUCT(DCF!$D$15:$H$15,(1+(WACC!$D$52*($C$46+$F$45*WACC!$D$28+WACC!$D$29)+WACC!$D$53*(WACC!$D$47*$C$46+WACC!$D$48)*(1-WACC!$D$44)))^(-DCF!$D$12:$H$12))+'Operating Model'!$J$42/((WACC!$D$52*($C$46+$F$45*WACC!$D$28+WACC!$D$29)+WACC!$D$53*(WACC!$D$47*$C$46+WACC!$D$48)*(1-WACC!$D$44))-Inputs!$D$172)*(1+(WACC!$D$52*($C$46+$F$45*WACC!$D$28+WACC!$D$29)+WACC!$D$53*(WACC!$D$47*$C$46+WACC!$D$48)*(1-WACC!$D$44)))^(-DCF!$D$21)+DCF!$D$51)/Inputs!$D$15,"n/a"),(SUMPRODUCT(DCF!$D$15:$H$15,(1+(WACC!$D$52*($C$46+$F$45*WACC!$D$28+WACC!$D$29)+WACC!$D$53*(WACC!$D$47*$C$46+WACC!$D$48)*(1-WACC!$D$44)))^(-DCF!$D$12:$H$12))+'Operating Model'!$I$16*Inputs!$D$173*(1+(WACC!$D$52*($C$46+$F$45*WACC!$D$28+WACC!$D$29)+WACC!$D$53*(WACC!$D$47*$C$46+WACC!$D$48)*(1-WACC!$D$44)))^(-DCF!$D$21)+DCF!$D$51)/Inputs!$D$15)</f>
      </c>
      <c r="G46" s="8">
        <f>IF(Inputs!$D$171="gordon",IF(Inputs!$D$172&lt;(WACC!$D$52*($C$46+$G$45*WACC!$D$28+WACC!$D$29)+WACC!$D$53*(WACC!$D$47*$C$46+WACC!$D$48)*(1-WACC!$D$44)),(SUMPRODUCT(DCF!$D$15:$H$15,(1+(WACC!$D$52*($C$46+$G$45*WACC!$D$28+WACC!$D$29)+WACC!$D$53*(WACC!$D$47*$C$46+WACC!$D$48)*(1-WACC!$D$44)))^(-DCF!$D$12:$H$12))+'Operating Model'!$J$42/((WACC!$D$52*($C$46+$G$45*WACC!$D$28+WACC!$D$29)+WACC!$D$53*(WACC!$D$47*$C$46+WACC!$D$48)*(1-WACC!$D$44))-Inputs!$D$172)*(1+(WACC!$D$52*($C$46+$G$45*WACC!$D$28+WACC!$D$29)+WACC!$D$53*(WACC!$D$47*$C$46+WACC!$D$48)*(1-WACC!$D$44)))^(-DCF!$D$21)+DCF!$D$51)/Inputs!$D$15,"n/a"),(SUMPRODUCT(DCF!$D$15:$H$15,(1+(WACC!$D$52*($C$46+$G$45*WACC!$D$28+WACC!$D$29)+WACC!$D$53*(WACC!$D$47*$C$46+WACC!$D$48)*(1-WACC!$D$44)))^(-DCF!$D$12:$H$12))+'Operating Model'!$I$16*Inputs!$D$173*(1+(WACC!$D$52*($C$46+$G$45*WACC!$D$28+WACC!$D$29)+WACC!$D$53*(WACC!$D$47*$C$46+WACC!$D$48)*(1-WACC!$D$44)))^(-DCF!$D$21)+DCF!$D$51)/Inputs!$D$15)</f>
      </c>
      <c r="H46" s="8">
        <f>IF(Inputs!$D$171="gordon",IF(Inputs!$D$172&lt;(WACC!$D$52*($C$46+$H$45*WACC!$D$28+WACC!$D$29)+WACC!$D$53*(WACC!$D$47*$C$46+WACC!$D$48)*(1-WACC!$D$44)),(SUMPRODUCT(DCF!$D$15:$H$15,(1+(WACC!$D$52*($C$46+$H$45*WACC!$D$28+WACC!$D$29)+WACC!$D$53*(WACC!$D$47*$C$46+WACC!$D$48)*(1-WACC!$D$44)))^(-DCF!$D$12:$H$12))+'Operating Model'!$J$42/((WACC!$D$52*($C$46+$H$45*WACC!$D$28+WACC!$D$29)+WACC!$D$53*(WACC!$D$47*$C$46+WACC!$D$48)*(1-WACC!$D$44))-Inputs!$D$172)*(1+(WACC!$D$52*($C$46+$H$45*WACC!$D$28+WACC!$D$29)+WACC!$D$53*(WACC!$D$47*$C$46+WACC!$D$48)*(1-WACC!$D$44)))^(-DCF!$D$21)+DCF!$D$51)/Inputs!$D$15,"n/a"),(SUMPRODUCT(DCF!$D$15:$H$15,(1+(WACC!$D$52*($C$46+$H$45*WACC!$D$28+WACC!$D$29)+WACC!$D$53*(WACC!$D$47*$C$46+WACC!$D$48)*(1-WACC!$D$44)))^(-DCF!$D$12:$H$12))+'Operating Model'!$I$16*Inputs!$D$173*(1+(WACC!$D$52*($C$46+$H$45*WACC!$D$28+WACC!$D$29)+WACC!$D$53*(WACC!$D$47*$C$46+WACC!$D$48)*(1-WACC!$D$44)))^(-DCF!$D$21)+DCF!$D$51)/Inputs!$D$15)</f>
      </c>
    </row>
    <row r="47" spans="2:8" x14ac:dyDescent="0.25">
      <c r="B47" s="2" t="s">
        <v>4</v>
      </c>
      <c r="C47" s="15">
        <f>WACC!$D$12+Inputs!$E$237*Inputs!$D$235</f>
      </c>
      <c r="D47" s="8">
        <f>IF(Inputs!$D$171="gordon",IF(Inputs!$D$172&lt;(WACC!$D$52*($C$47+$D$45*WACC!$D$28+WACC!$D$29)+WACC!$D$53*(WACC!$D$47*$C$47+WACC!$D$48)*(1-WACC!$D$44)),(SUMPRODUCT(DCF!$D$15:$H$15,(1+(WACC!$D$52*($C$47+$D$45*WACC!$D$28+WACC!$D$29)+WACC!$D$53*(WACC!$D$47*$C$47+WACC!$D$48)*(1-WACC!$D$44)))^(-DCF!$D$12:$H$12))+'Operating Model'!$J$42/((WACC!$D$52*($C$47+$D$45*WACC!$D$28+WACC!$D$29)+WACC!$D$53*(WACC!$D$47*$C$47+WACC!$D$48)*(1-WACC!$D$44))-Inputs!$D$172)*(1+(WACC!$D$52*($C$47+$D$45*WACC!$D$28+WACC!$D$29)+WACC!$D$53*(WACC!$D$47*$C$47+WACC!$D$48)*(1-WACC!$D$44)))^(-DCF!$D$21)+DCF!$D$51)/Inputs!$D$15,"n/a"),(SUMPRODUCT(DCF!$D$15:$H$15,(1+(WACC!$D$52*($C$47+$D$45*WACC!$D$28+WACC!$D$29)+WACC!$D$53*(WACC!$D$47*$C$47+WACC!$D$48)*(1-WACC!$D$44)))^(-DCF!$D$12:$H$12))+'Operating Model'!$I$16*Inputs!$D$173*(1+(WACC!$D$52*($C$47+$D$45*WACC!$D$28+WACC!$D$29)+WACC!$D$53*(WACC!$D$47*$C$47+WACC!$D$48)*(1-WACC!$D$44)))^(-DCF!$D$21)+DCF!$D$51)/Inputs!$D$15)</f>
      </c>
      <c r="E47" s="8">
        <f>IF(Inputs!$D$171="gordon",IF(Inputs!$D$172&lt;(WACC!$D$52*($C$47+$E$45*WACC!$D$28+WACC!$D$29)+WACC!$D$53*(WACC!$D$47*$C$47+WACC!$D$48)*(1-WACC!$D$44)),(SUMPRODUCT(DCF!$D$15:$H$15,(1+(WACC!$D$52*($C$47+$E$45*WACC!$D$28+WACC!$D$29)+WACC!$D$53*(WACC!$D$47*$C$47+WACC!$D$48)*(1-WACC!$D$44)))^(-DCF!$D$12:$H$12))+'Operating Model'!$J$42/((WACC!$D$52*($C$47+$E$45*WACC!$D$28+WACC!$D$29)+WACC!$D$53*(WACC!$D$47*$C$47+WACC!$D$48)*(1-WACC!$D$44))-Inputs!$D$172)*(1+(WACC!$D$52*($C$47+$E$45*WACC!$D$28+WACC!$D$29)+WACC!$D$53*(WACC!$D$47*$C$47+WACC!$D$48)*(1-WACC!$D$44)))^(-DCF!$D$21)+DCF!$D$51)/Inputs!$D$15,"n/a"),(SUMPRODUCT(DCF!$D$15:$H$15,(1+(WACC!$D$52*($C$47+$E$45*WACC!$D$28+WACC!$D$29)+WACC!$D$53*(WACC!$D$47*$C$47+WACC!$D$48)*(1-WACC!$D$44)))^(-DCF!$D$12:$H$12))+'Operating Model'!$I$16*Inputs!$D$173*(1+(WACC!$D$52*($C$47+$E$45*WACC!$D$28+WACC!$D$29)+WACC!$D$53*(WACC!$D$47*$C$47+WACC!$D$48)*(1-WACC!$D$44)))^(-DCF!$D$21)+DCF!$D$51)/Inputs!$D$15)</f>
      </c>
      <c r="F47" s="8">
        <f>IF(Inputs!$D$171="gordon",IF(Inputs!$D$172&lt;(WACC!$D$52*($C$47+$F$45*WACC!$D$28+WACC!$D$29)+WACC!$D$53*(WACC!$D$47*$C$47+WACC!$D$48)*(1-WACC!$D$44)),(SUMPRODUCT(DCF!$D$15:$H$15,(1+(WACC!$D$52*($C$47+$F$45*WACC!$D$28+WACC!$D$29)+WACC!$D$53*(WACC!$D$47*$C$47+WACC!$D$48)*(1-WACC!$D$44)))^(-DCF!$D$12:$H$12))+'Operating Model'!$J$42/((WACC!$D$52*($C$47+$F$45*WACC!$D$28+WACC!$D$29)+WACC!$D$53*(WACC!$D$47*$C$47+WACC!$D$48)*(1-WACC!$D$44))-Inputs!$D$172)*(1+(WACC!$D$52*($C$47+$F$45*WACC!$D$28+WACC!$D$29)+WACC!$D$53*(WACC!$D$47*$C$47+WACC!$D$48)*(1-WACC!$D$44)))^(-DCF!$D$21)+DCF!$D$51)/Inputs!$D$15,"n/a"),(SUMPRODUCT(DCF!$D$15:$H$15,(1+(WACC!$D$52*($C$47+$F$45*WACC!$D$28+WACC!$D$29)+WACC!$D$53*(WACC!$D$47*$C$47+WACC!$D$48)*(1-WACC!$D$44)))^(-DCF!$D$12:$H$12))+'Operating Model'!$I$16*Inputs!$D$173*(1+(WACC!$D$52*($C$47+$F$45*WACC!$D$28+WACC!$D$29)+WACC!$D$53*(WACC!$D$47*$C$47+WACC!$D$48)*(1-WACC!$D$44)))^(-DCF!$D$21)+DCF!$D$51)/Inputs!$D$15)</f>
      </c>
      <c r="G47" s="8">
        <f>IF(Inputs!$D$171="gordon",IF(Inputs!$D$172&lt;(WACC!$D$52*($C$47+$G$45*WACC!$D$28+WACC!$D$29)+WACC!$D$53*(WACC!$D$47*$C$47+WACC!$D$48)*(1-WACC!$D$44)),(SUMPRODUCT(DCF!$D$15:$H$15,(1+(WACC!$D$52*($C$47+$G$45*WACC!$D$28+WACC!$D$29)+WACC!$D$53*(WACC!$D$47*$C$47+WACC!$D$48)*(1-WACC!$D$44)))^(-DCF!$D$12:$H$12))+'Operating Model'!$J$42/((WACC!$D$52*($C$47+$G$45*WACC!$D$28+WACC!$D$29)+WACC!$D$53*(WACC!$D$47*$C$47+WACC!$D$48)*(1-WACC!$D$44))-Inputs!$D$172)*(1+(WACC!$D$52*($C$47+$G$45*WACC!$D$28+WACC!$D$29)+WACC!$D$53*(WACC!$D$47*$C$47+WACC!$D$48)*(1-WACC!$D$44)))^(-DCF!$D$21)+DCF!$D$51)/Inputs!$D$15,"n/a"),(SUMPRODUCT(DCF!$D$15:$H$15,(1+(WACC!$D$52*($C$47+$G$45*WACC!$D$28+WACC!$D$29)+WACC!$D$53*(WACC!$D$47*$C$47+WACC!$D$48)*(1-WACC!$D$44)))^(-DCF!$D$12:$H$12))+'Operating Model'!$I$16*Inputs!$D$173*(1+(WACC!$D$52*($C$47+$G$45*WACC!$D$28+WACC!$D$29)+WACC!$D$53*(WACC!$D$47*$C$47+WACC!$D$48)*(1-WACC!$D$44)))^(-DCF!$D$21)+DCF!$D$51)/Inputs!$D$15)</f>
      </c>
      <c r="H47" s="8">
        <f>IF(Inputs!$D$171="gordon",IF(Inputs!$D$172&lt;(WACC!$D$52*($C$47+$H$45*WACC!$D$28+WACC!$D$29)+WACC!$D$53*(WACC!$D$47*$C$47+WACC!$D$48)*(1-WACC!$D$44)),(SUMPRODUCT(DCF!$D$15:$H$15,(1+(WACC!$D$52*($C$47+$H$45*WACC!$D$28+WACC!$D$29)+WACC!$D$53*(WACC!$D$47*$C$47+WACC!$D$48)*(1-WACC!$D$44)))^(-DCF!$D$12:$H$12))+'Operating Model'!$J$42/((WACC!$D$52*($C$47+$H$45*WACC!$D$28+WACC!$D$29)+WACC!$D$53*(WACC!$D$47*$C$47+WACC!$D$48)*(1-WACC!$D$44))-Inputs!$D$172)*(1+(WACC!$D$52*($C$47+$H$45*WACC!$D$28+WACC!$D$29)+WACC!$D$53*(WACC!$D$47*$C$47+WACC!$D$48)*(1-WACC!$D$44)))^(-DCF!$D$21)+DCF!$D$51)/Inputs!$D$15,"n/a"),(SUMPRODUCT(DCF!$D$15:$H$15,(1+(WACC!$D$52*($C$47+$H$45*WACC!$D$28+WACC!$D$29)+WACC!$D$53*(WACC!$D$47*$C$47+WACC!$D$48)*(1-WACC!$D$44)))^(-DCF!$D$12:$H$12))+'Operating Model'!$I$16*Inputs!$D$173*(1+(WACC!$D$52*($C$47+$H$45*WACC!$D$28+WACC!$D$29)+WACC!$D$53*(WACC!$D$47*$C$47+WACC!$D$48)*(1-WACC!$D$44)))^(-DCF!$D$21)+DCF!$D$51)/Inputs!$D$15)</f>
      </c>
    </row>
    <row r="48" spans="2:8" x14ac:dyDescent="0.25">
      <c r="B48" s="2" t="s">
        <v>4</v>
      </c>
      <c r="C48" s="15">
        <f>WACC!$D$12+Inputs!$F$237*Inputs!$D$235</f>
      </c>
      <c r="D48" s="8">
        <f>IF(Inputs!$D$171="gordon",IF(Inputs!$D$172&lt;(WACC!$D$52*($C$48+$D$45*WACC!$D$28+WACC!$D$29)+WACC!$D$53*(WACC!$D$47*$C$48+WACC!$D$48)*(1-WACC!$D$44)),(SUMPRODUCT(DCF!$D$15:$H$15,(1+(WACC!$D$52*($C$48+$D$45*WACC!$D$28+WACC!$D$29)+WACC!$D$53*(WACC!$D$47*$C$48+WACC!$D$48)*(1-WACC!$D$44)))^(-DCF!$D$12:$H$12))+'Operating Model'!$J$42/((WACC!$D$52*($C$48+$D$45*WACC!$D$28+WACC!$D$29)+WACC!$D$53*(WACC!$D$47*$C$48+WACC!$D$48)*(1-WACC!$D$44))-Inputs!$D$172)*(1+(WACC!$D$52*($C$48+$D$45*WACC!$D$28+WACC!$D$29)+WACC!$D$53*(WACC!$D$47*$C$48+WACC!$D$48)*(1-WACC!$D$44)))^(-DCF!$D$21)+DCF!$D$51)/Inputs!$D$15,"n/a"),(SUMPRODUCT(DCF!$D$15:$H$15,(1+(WACC!$D$52*($C$48+$D$45*WACC!$D$28+WACC!$D$29)+WACC!$D$53*(WACC!$D$47*$C$48+WACC!$D$48)*(1-WACC!$D$44)))^(-DCF!$D$12:$H$12))+'Operating Model'!$I$16*Inputs!$D$173*(1+(WACC!$D$52*($C$48+$D$45*WACC!$D$28+WACC!$D$29)+WACC!$D$53*(WACC!$D$47*$C$48+WACC!$D$48)*(1-WACC!$D$44)))^(-DCF!$D$21)+DCF!$D$51)/Inputs!$D$15)</f>
      </c>
      <c r="E48" s="8">
        <f>IF(Inputs!$D$171="gordon",IF(Inputs!$D$172&lt;(WACC!$D$52*($C$48+$E$45*WACC!$D$28+WACC!$D$29)+WACC!$D$53*(WACC!$D$47*$C$48+WACC!$D$48)*(1-WACC!$D$44)),(SUMPRODUCT(DCF!$D$15:$H$15,(1+(WACC!$D$52*($C$48+$E$45*WACC!$D$28+WACC!$D$29)+WACC!$D$53*(WACC!$D$47*$C$48+WACC!$D$48)*(1-WACC!$D$44)))^(-DCF!$D$12:$H$12))+'Operating Model'!$J$42/((WACC!$D$52*($C$48+$E$45*WACC!$D$28+WACC!$D$29)+WACC!$D$53*(WACC!$D$47*$C$48+WACC!$D$48)*(1-WACC!$D$44))-Inputs!$D$172)*(1+(WACC!$D$52*($C$48+$E$45*WACC!$D$28+WACC!$D$29)+WACC!$D$53*(WACC!$D$47*$C$48+WACC!$D$48)*(1-WACC!$D$44)))^(-DCF!$D$21)+DCF!$D$51)/Inputs!$D$15,"n/a"),(SUMPRODUCT(DCF!$D$15:$H$15,(1+(WACC!$D$52*($C$48+$E$45*WACC!$D$28+WACC!$D$29)+WACC!$D$53*(WACC!$D$47*$C$48+WACC!$D$48)*(1-WACC!$D$44)))^(-DCF!$D$12:$H$12))+'Operating Model'!$I$16*Inputs!$D$173*(1+(WACC!$D$52*($C$48+$E$45*WACC!$D$28+WACC!$D$29)+WACC!$D$53*(WACC!$D$47*$C$48+WACC!$D$48)*(1-WACC!$D$44)))^(-DCF!$D$21)+DCF!$D$51)/Inputs!$D$15)</f>
      </c>
      <c r="F48" s="8">
        <f>IF(Inputs!$D$171="gordon",IF(Inputs!$D$172&lt;(WACC!$D$52*($C$48+$F$45*WACC!$D$28+WACC!$D$29)+WACC!$D$53*(WACC!$D$47*$C$48+WACC!$D$48)*(1-WACC!$D$44)),(SUMPRODUCT(DCF!$D$15:$H$15,(1+(WACC!$D$52*($C$48+$F$45*WACC!$D$28+WACC!$D$29)+WACC!$D$53*(WACC!$D$47*$C$48+WACC!$D$48)*(1-WACC!$D$44)))^(-DCF!$D$12:$H$12))+'Operating Model'!$J$42/((WACC!$D$52*($C$48+$F$45*WACC!$D$28+WACC!$D$29)+WACC!$D$53*(WACC!$D$47*$C$48+WACC!$D$48)*(1-WACC!$D$44))-Inputs!$D$172)*(1+(WACC!$D$52*($C$48+$F$45*WACC!$D$28+WACC!$D$29)+WACC!$D$53*(WACC!$D$47*$C$48+WACC!$D$48)*(1-WACC!$D$44)))^(-DCF!$D$21)+DCF!$D$51)/Inputs!$D$15,"n/a"),(SUMPRODUCT(DCF!$D$15:$H$15,(1+(WACC!$D$52*($C$48+$F$45*WACC!$D$28+WACC!$D$29)+WACC!$D$53*(WACC!$D$47*$C$48+WACC!$D$48)*(1-WACC!$D$44)))^(-DCF!$D$12:$H$12))+'Operating Model'!$I$16*Inputs!$D$173*(1+(WACC!$D$52*($C$48+$F$45*WACC!$D$28+WACC!$D$29)+WACC!$D$53*(WACC!$D$47*$C$48+WACC!$D$48)*(1-WACC!$D$44)))^(-DCF!$D$21)+DCF!$D$51)/Inputs!$D$15)</f>
      </c>
      <c r="G48" s="8">
        <f>IF(Inputs!$D$171="gordon",IF(Inputs!$D$172&lt;(WACC!$D$52*($C$48+$G$45*WACC!$D$28+WACC!$D$29)+WACC!$D$53*(WACC!$D$47*$C$48+WACC!$D$48)*(1-WACC!$D$44)),(SUMPRODUCT(DCF!$D$15:$H$15,(1+(WACC!$D$52*($C$48+$G$45*WACC!$D$28+WACC!$D$29)+WACC!$D$53*(WACC!$D$47*$C$48+WACC!$D$48)*(1-WACC!$D$44)))^(-DCF!$D$12:$H$12))+'Operating Model'!$J$42/((WACC!$D$52*($C$48+$G$45*WACC!$D$28+WACC!$D$29)+WACC!$D$53*(WACC!$D$47*$C$48+WACC!$D$48)*(1-WACC!$D$44))-Inputs!$D$172)*(1+(WACC!$D$52*($C$48+$G$45*WACC!$D$28+WACC!$D$29)+WACC!$D$53*(WACC!$D$47*$C$48+WACC!$D$48)*(1-WACC!$D$44)))^(-DCF!$D$21)+DCF!$D$51)/Inputs!$D$15,"n/a"),(SUMPRODUCT(DCF!$D$15:$H$15,(1+(WACC!$D$52*($C$48+$G$45*WACC!$D$28+WACC!$D$29)+WACC!$D$53*(WACC!$D$47*$C$48+WACC!$D$48)*(1-WACC!$D$44)))^(-DCF!$D$12:$H$12))+'Operating Model'!$I$16*Inputs!$D$173*(1+(WACC!$D$52*($C$48+$G$45*WACC!$D$28+WACC!$D$29)+WACC!$D$53*(WACC!$D$47*$C$48+WACC!$D$48)*(1-WACC!$D$44)))^(-DCF!$D$21)+DCF!$D$51)/Inputs!$D$15)</f>
      </c>
      <c r="H48" s="8">
        <f>IF(Inputs!$D$171="gordon",IF(Inputs!$D$172&lt;(WACC!$D$52*($C$48+$H$45*WACC!$D$28+WACC!$D$29)+WACC!$D$53*(WACC!$D$47*$C$48+WACC!$D$48)*(1-WACC!$D$44)),(SUMPRODUCT(DCF!$D$15:$H$15,(1+(WACC!$D$52*($C$48+$H$45*WACC!$D$28+WACC!$D$29)+WACC!$D$53*(WACC!$D$47*$C$48+WACC!$D$48)*(1-WACC!$D$44)))^(-DCF!$D$12:$H$12))+'Operating Model'!$J$42/((WACC!$D$52*($C$48+$H$45*WACC!$D$28+WACC!$D$29)+WACC!$D$53*(WACC!$D$47*$C$48+WACC!$D$48)*(1-WACC!$D$44))-Inputs!$D$172)*(1+(WACC!$D$52*($C$48+$H$45*WACC!$D$28+WACC!$D$29)+WACC!$D$53*(WACC!$D$47*$C$48+WACC!$D$48)*(1-WACC!$D$44)))^(-DCF!$D$21)+DCF!$D$51)/Inputs!$D$15,"n/a"),(SUMPRODUCT(DCF!$D$15:$H$15,(1+(WACC!$D$52*($C$48+$H$45*WACC!$D$28+WACC!$D$29)+WACC!$D$53*(WACC!$D$47*$C$48+WACC!$D$48)*(1-WACC!$D$44)))^(-DCF!$D$12:$H$12))+'Operating Model'!$I$16*Inputs!$D$173*(1+(WACC!$D$52*($C$48+$H$45*WACC!$D$28+WACC!$D$29)+WACC!$D$53*(WACC!$D$47*$C$48+WACC!$D$48)*(1-WACC!$D$44)))^(-DCF!$D$21)+DCF!$D$51)/Inputs!$D$15)</f>
      </c>
    </row>
    <row r="49" spans="2:8" x14ac:dyDescent="0.25">
      <c r="B49" s="2" t="s">
        <v>4</v>
      </c>
      <c r="C49" s="15">
        <f>WACC!$D$12+Inputs!$G$237*Inputs!$D$235</f>
      </c>
      <c r="D49" s="8">
        <f>IF(Inputs!$D$171="gordon",IF(Inputs!$D$172&lt;(WACC!$D$52*($C$49+$D$45*WACC!$D$28+WACC!$D$29)+WACC!$D$53*(WACC!$D$47*$C$49+WACC!$D$48)*(1-WACC!$D$44)),(SUMPRODUCT(DCF!$D$15:$H$15,(1+(WACC!$D$52*($C$49+$D$45*WACC!$D$28+WACC!$D$29)+WACC!$D$53*(WACC!$D$47*$C$49+WACC!$D$48)*(1-WACC!$D$44)))^(-DCF!$D$12:$H$12))+'Operating Model'!$J$42/((WACC!$D$52*($C$49+$D$45*WACC!$D$28+WACC!$D$29)+WACC!$D$53*(WACC!$D$47*$C$49+WACC!$D$48)*(1-WACC!$D$44))-Inputs!$D$172)*(1+(WACC!$D$52*($C$49+$D$45*WACC!$D$28+WACC!$D$29)+WACC!$D$53*(WACC!$D$47*$C$49+WACC!$D$48)*(1-WACC!$D$44)))^(-DCF!$D$21)+DCF!$D$51)/Inputs!$D$15,"n/a"),(SUMPRODUCT(DCF!$D$15:$H$15,(1+(WACC!$D$52*($C$49+$D$45*WACC!$D$28+WACC!$D$29)+WACC!$D$53*(WACC!$D$47*$C$49+WACC!$D$48)*(1-WACC!$D$44)))^(-DCF!$D$12:$H$12))+'Operating Model'!$I$16*Inputs!$D$173*(1+(WACC!$D$52*($C$49+$D$45*WACC!$D$28+WACC!$D$29)+WACC!$D$53*(WACC!$D$47*$C$49+WACC!$D$48)*(1-WACC!$D$44)))^(-DCF!$D$21)+DCF!$D$51)/Inputs!$D$15)</f>
      </c>
      <c r="E49" s="8">
        <f>IF(Inputs!$D$171="gordon",IF(Inputs!$D$172&lt;(WACC!$D$52*($C$49+$E$45*WACC!$D$28+WACC!$D$29)+WACC!$D$53*(WACC!$D$47*$C$49+WACC!$D$48)*(1-WACC!$D$44)),(SUMPRODUCT(DCF!$D$15:$H$15,(1+(WACC!$D$52*($C$49+$E$45*WACC!$D$28+WACC!$D$29)+WACC!$D$53*(WACC!$D$47*$C$49+WACC!$D$48)*(1-WACC!$D$44)))^(-DCF!$D$12:$H$12))+'Operating Model'!$J$42/((WACC!$D$52*($C$49+$E$45*WACC!$D$28+WACC!$D$29)+WACC!$D$53*(WACC!$D$47*$C$49+WACC!$D$48)*(1-WACC!$D$44))-Inputs!$D$172)*(1+(WACC!$D$52*($C$49+$E$45*WACC!$D$28+WACC!$D$29)+WACC!$D$53*(WACC!$D$47*$C$49+WACC!$D$48)*(1-WACC!$D$44)))^(-DCF!$D$21)+DCF!$D$51)/Inputs!$D$15,"n/a"),(SUMPRODUCT(DCF!$D$15:$H$15,(1+(WACC!$D$52*($C$49+$E$45*WACC!$D$28+WACC!$D$29)+WACC!$D$53*(WACC!$D$47*$C$49+WACC!$D$48)*(1-WACC!$D$44)))^(-DCF!$D$12:$H$12))+'Operating Model'!$I$16*Inputs!$D$173*(1+(WACC!$D$52*($C$49+$E$45*WACC!$D$28+WACC!$D$29)+WACC!$D$53*(WACC!$D$47*$C$49+WACC!$D$48)*(1-WACC!$D$44)))^(-DCF!$D$21)+DCF!$D$51)/Inputs!$D$15)</f>
      </c>
      <c r="F49" s="8">
        <f>IF(Inputs!$D$171="gordon",IF(Inputs!$D$172&lt;(WACC!$D$52*($C$49+$F$45*WACC!$D$28+WACC!$D$29)+WACC!$D$53*(WACC!$D$47*$C$49+WACC!$D$48)*(1-WACC!$D$44)),(SUMPRODUCT(DCF!$D$15:$H$15,(1+(WACC!$D$52*($C$49+$F$45*WACC!$D$28+WACC!$D$29)+WACC!$D$53*(WACC!$D$47*$C$49+WACC!$D$48)*(1-WACC!$D$44)))^(-DCF!$D$12:$H$12))+'Operating Model'!$J$42/((WACC!$D$52*($C$49+$F$45*WACC!$D$28+WACC!$D$29)+WACC!$D$53*(WACC!$D$47*$C$49+WACC!$D$48)*(1-WACC!$D$44))-Inputs!$D$172)*(1+(WACC!$D$52*($C$49+$F$45*WACC!$D$28+WACC!$D$29)+WACC!$D$53*(WACC!$D$47*$C$49+WACC!$D$48)*(1-WACC!$D$44)))^(-DCF!$D$21)+DCF!$D$51)/Inputs!$D$15,"n/a"),(SUMPRODUCT(DCF!$D$15:$H$15,(1+(WACC!$D$52*($C$49+$F$45*WACC!$D$28+WACC!$D$29)+WACC!$D$53*(WACC!$D$47*$C$49+WACC!$D$48)*(1-WACC!$D$44)))^(-DCF!$D$12:$H$12))+'Operating Model'!$I$16*Inputs!$D$173*(1+(WACC!$D$52*($C$49+$F$45*WACC!$D$28+WACC!$D$29)+WACC!$D$53*(WACC!$D$47*$C$49+WACC!$D$48)*(1-WACC!$D$44)))^(-DCF!$D$21)+DCF!$D$51)/Inputs!$D$15)</f>
      </c>
      <c r="G49" s="8">
        <f>IF(Inputs!$D$171="gordon",IF(Inputs!$D$172&lt;(WACC!$D$52*($C$49+$G$45*WACC!$D$28+WACC!$D$29)+WACC!$D$53*(WACC!$D$47*$C$49+WACC!$D$48)*(1-WACC!$D$44)),(SUMPRODUCT(DCF!$D$15:$H$15,(1+(WACC!$D$52*($C$49+$G$45*WACC!$D$28+WACC!$D$29)+WACC!$D$53*(WACC!$D$47*$C$49+WACC!$D$48)*(1-WACC!$D$44)))^(-DCF!$D$12:$H$12))+'Operating Model'!$J$42/((WACC!$D$52*($C$49+$G$45*WACC!$D$28+WACC!$D$29)+WACC!$D$53*(WACC!$D$47*$C$49+WACC!$D$48)*(1-WACC!$D$44))-Inputs!$D$172)*(1+(WACC!$D$52*($C$49+$G$45*WACC!$D$28+WACC!$D$29)+WACC!$D$53*(WACC!$D$47*$C$49+WACC!$D$48)*(1-WACC!$D$44)))^(-DCF!$D$21)+DCF!$D$51)/Inputs!$D$15,"n/a"),(SUMPRODUCT(DCF!$D$15:$H$15,(1+(WACC!$D$52*($C$49+$G$45*WACC!$D$28+WACC!$D$29)+WACC!$D$53*(WACC!$D$47*$C$49+WACC!$D$48)*(1-WACC!$D$44)))^(-DCF!$D$12:$H$12))+'Operating Model'!$I$16*Inputs!$D$173*(1+(WACC!$D$52*($C$49+$G$45*WACC!$D$28+WACC!$D$29)+WACC!$D$53*(WACC!$D$47*$C$49+WACC!$D$48)*(1-WACC!$D$44)))^(-DCF!$D$21)+DCF!$D$51)/Inputs!$D$15)</f>
      </c>
      <c r="H49" s="8">
        <f>IF(Inputs!$D$171="gordon",IF(Inputs!$D$172&lt;(WACC!$D$52*($C$49+$H$45*WACC!$D$28+WACC!$D$29)+WACC!$D$53*(WACC!$D$47*$C$49+WACC!$D$48)*(1-WACC!$D$44)),(SUMPRODUCT(DCF!$D$15:$H$15,(1+(WACC!$D$52*($C$49+$H$45*WACC!$D$28+WACC!$D$29)+WACC!$D$53*(WACC!$D$47*$C$49+WACC!$D$48)*(1-WACC!$D$44)))^(-DCF!$D$12:$H$12))+'Operating Model'!$J$42/((WACC!$D$52*($C$49+$H$45*WACC!$D$28+WACC!$D$29)+WACC!$D$53*(WACC!$D$47*$C$49+WACC!$D$48)*(1-WACC!$D$44))-Inputs!$D$172)*(1+(WACC!$D$52*($C$49+$H$45*WACC!$D$28+WACC!$D$29)+WACC!$D$53*(WACC!$D$47*$C$49+WACC!$D$48)*(1-WACC!$D$44)))^(-DCF!$D$21)+DCF!$D$51)/Inputs!$D$15,"n/a"),(SUMPRODUCT(DCF!$D$15:$H$15,(1+(WACC!$D$52*($C$49+$H$45*WACC!$D$28+WACC!$D$29)+WACC!$D$53*(WACC!$D$47*$C$49+WACC!$D$48)*(1-WACC!$D$44)))^(-DCF!$D$12:$H$12))+'Operating Model'!$I$16*Inputs!$D$173*(1+(WACC!$D$52*($C$49+$H$45*WACC!$D$28+WACC!$D$29)+WACC!$D$53*(WACC!$D$47*$C$49+WACC!$D$48)*(1-WACC!$D$44)))^(-DCF!$D$21)+DCF!$D$51)/Inputs!$D$15)</f>
      </c>
    </row>
    <row r="50" spans="2:8" x14ac:dyDescent="0.25">
      <c r="B50" s="2" t="s">
        <v>4</v>
      </c>
      <c r="C50" s="15">
        <f>WACC!$D$12+Inputs!$H$237*Inputs!$D$235</f>
      </c>
      <c r="D50" s="8">
        <f>IF(Inputs!$D$171="gordon",IF(Inputs!$D$172&lt;(WACC!$D$52*($C$50+$D$45*WACC!$D$28+WACC!$D$29)+WACC!$D$53*(WACC!$D$47*$C$50+WACC!$D$48)*(1-WACC!$D$44)),(SUMPRODUCT(DCF!$D$15:$H$15,(1+(WACC!$D$52*($C$50+$D$45*WACC!$D$28+WACC!$D$29)+WACC!$D$53*(WACC!$D$47*$C$50+WACC!$D$48)*(1-WACC!$D$44)))^(-DCF!$D$12:$H$12))+'Operating Model'!$J$42/((WACC!$D$52*($C$50+$D$45*WACC!$D$28+WACC!$D$29)+WACC!$D$53*(WACC!$D$47*$C$50+WACC!$D$48)*(1-WACC!$D$44))-Inputs!$D$172)*(1+(WACC!$D$52*($C$50+$D$45*WACC!$D$28+WACC!$D$29)+WACC!$D$53*(WACC!$D$47*$C$50+WACC!$D$48)*(1-WACC!$D$44)))^(-DCF!$D$21)+DCF!$D$51)/Inputs!$D$15,"n/a"),(SUMPRODUCT(DCF!$D$15:$H$15,(1+(WACC!$D$52*($C$50+$D$45*WACC!$D$28+WACC!$D$29)+WACC!$D$53*(WACC!$D$47*$C$50+WACC!$D$48)*(1-WACC!$D$44)))^(-DCF!$D$12:$H$12))+'Operating Model'!$I$16*Inputs!$D$173*(1+(WACC!$D$52*($C$50+$D$45*WACC!$D$28+WACC!$D$29)+WACC!$D$53*(WACC!$D$47*$C$50+WACC!$D$48)*(1-WACC!$D$44)))^(-DCF!$D$21)+DCF!$D$51)/Inputs!$D$15)</f>
      </c>
      <c r="E50" s="8">
        <f>IF(Inputs!$D$171="gordon",IF(Inputs!$D$172&lt;(WACC!$D$52*($C$50+$E$45*WACC!$D$28+WACC!$D$29)+WACC!$D$53*(WACC!$D$47*$C$50+WACC!$D$48)*(1-WACC!$D$44)),(SUMPRODUCT(DCF!$D$15:$H$15,(1+(WACC!$D$52*($C$50+$E$45*WACC!$D$28+WACC!$D$29)+WACC!$D$53*(WACC!$D$47*$C$50+WACC!$D$48)*(1-WACC!$D$44)))^(-DCF!$D$12:$H$12))+'Operating Model'!$J$42/((WACC!$D$52*($C$50+$E$45*WACC!$D$28+WACC!$D$29)+WACC!$D$53*(WACC!$D$47*$C$50+WACC!$D$48)*(1-WACC!$D$44))-Inputs!$D$172)*(1+(WACC!$D$52*($C$50+$E$45*WACC!$D$28+WACC!$D$29)+WACC!$D$53*(WACC!$D$47*$C$50+WACC!$D$48)*(1-WACC!$D$44)))^(-DCF!$D$21)+DCF!$D$51)/Inputs!$D$15,"n/a"),(SUMPRODUCT(DCF!$D$15:$H$15,(1+(WACC!$D$52*($C$50+$E$45*WACC!$D$28+WACC!$D$29)+WACC!$D$53*(WACC!$D$47*$C$50+WACC!$D$48)*(1-WACC!$D$44)))^(-DCF!$D$12:$H$12))+'Operating Model'!$I$16*Inputs!$D$173*(1+(WACC!$D$52*($C$50+$E$45*WACC!$D$28+WACC!$D$29)+WACC!$D$53*(WACC!$D$47*$C$50+WACC!$D$48)*(1-WACC!$D$44)))^(-DCF!$D$21)+DCF!$D$51)/Inputs!$D$15)</f>
      </c>
      <c r="F50" s="8">
        <f>IF(Inputs!$D$171="gordon",IF(Inputs!$D$172&lt;(WACC!$D$52*($C$50+$F$45*WACC!$D$28+WACC!$D$29)+WACC!$D$53*(WACC!$D$47*$C$50+WACC!$D$48)*(1-WACC!$D$44)),(SUMPRODUCT(DCF!$D$15:$H$15,(1+(WACC!$D$52*($C$50+$F$45*WACC!$D$28+WACC!$D$29)+WACC!$D$53*(WACC!$D$47*$C$50+WACC!$D$48)*(1-WACC!$D$44)))^(-DCF!$D$12:$H$12))+'Operating Model'!$J$42/((WACC!$D$52*($C$50+$F$45*WACC!$D$28+WACC!$D$29)+WACC!$D$53*(WACC!$D$47*$C$50+WACC!$D$48)*(1-WACC!$D$44))-Inputs!$D$172)*(1+(WACC!$D$52*($C$50+$F$45*WACC!$D$28+WACC!$D$29)+WACC!$D$53*(WACC!$D$47*$C$50+WACC!$D$48)*(1-WACC!$D$44)))^(-DCF!$D$21)+DCF!$D$51)/Inputs!$D$15,"n/a"),(SUMPRODUCT(DCF!$D$15:$H$15,(1+(WACC!$D$52*($C$50+$F$45*WACC!$D$28+WACC!$D$29)+WACC!$D$53*(WACC!$D$47*$C$50+WACC!$D$48)*(1-WACC!$D$44)))^(-DCF!$D$12:$H$12))+'Operating Model'!$I$16*Inputs!$D$173*(1+(WACC!$D$52*($C$50+$F$45*WACC!$D$28+WACC!$D$29)+WACC!$D$53*(WACC!$D$47*$C$50+WACC!$D$48)*(1-WACC!$D$44)))^(-DCF!$D$21)+DCF!$D$51)/Inputs!$D$15)</f>
      </c>
      <c r="G50" s="8">
        <f>IF(Inputs!$D$171="gordon",IF(Inputs!$D$172&lt;(WACC!$D$52*($C$50+$G$45*WACC!$D$28+WACC!$D$29)+WACC!$D$53*(WACC!$D$47*$C$50+WACC!$D$48)*(1-WACC!$D$44)),(SUMPRODUCT(DCF!$D$15:$H$15,(1+(WACC!$D$52*($C$50+$G$45*WACC!$D$28+WACC!$D$29)+WACC!$D$53*(WACC!$D$47*$C$50+WACC!$D$48)*(1-WACC!$D$44)))^(-DCF!$D$12:$H$12))+'Operating Model'!$J$42/((WACC!$D$52*($C$50+$G$45*WACC!$D$28+WACC!$D$29)+WACC!$D$53*(WACC!$D$47*$C$50+WACC!$D$48)*(1-WACC!$D$44))-Inputs!$D$172)*(1+(WACC!$D$52*($C$50+$G$45*WACC!$D$28+WACC!$D$29)+WACC!$D$53*(WACC!$D$47*$C$50+WACC!$D$48)*(1-WACC!$D$44)))^(-DCF!$D$21)+DCF!$D$51)/Inputs!$D$15,"n/a"),(SUMPRODUCT(DCF!$D$15:$H$15,(1+(WACC!$D$52*($C$50+$G$45*WACC!$D$28+WACC!$D$29)+WACC!$D$53*(WACC!$D$47*$C$50+WACC!$D$48)*(1-WACC!$D$44)))^(-DCF!$D$12:$H$12))+'Operating Model'!$I$16*Inputs!$D$173*(1+(WACC!$D$52*($C$50+$G$45*WACC!$D$28+WACC!$D$29)+WACC!$D$53*(WACC!$D$47*$C$50+WACC!$D$48)*(1-WACC!$D$44)))^(-DCF!$D$21)+DCF!$D$51)/Inputs!$D$15)</f>
      </c>
      <c r="H50" s="8">
        <f>IF(Inputs!$D$171="gordon",IF(Inputs!$D$172&lt;(WACC!$D$52*($C$50+$H$45*WACC!$D$28+WACC!$D$29)+WACC!$D$53*(WACC!$D$47*$C$50+WACC!$D$48)*(1-WACC!$D$44)),(SUMPRODUCT(DCF!$D$15:$H$15,(1+(WACC!$D$52*($C$50+$H$45*WACC!$D$28+WACC!$D$29)+WACC!$D$53*(WACC!$D$47*$C$50+WACC!$D$48)*(1-WACC!$D$44)))^(-DCF!$D$12:$H$12))+'Operating Model'!$J$42/((WACC!$D$52*($C$50+$H$45*WACC!$D$28+WACC!$D$29)+WACC!$D$53*(WACC!$D$47*$C$50+WACC!$D$48)*(1-WACC!$D$44))-Inputs!$D$172)*(1+(WACC!$D$52*($C$50+$H$45*WACC!$D$28+WACC!$D$29)+WACC!$D$53*(WACC!$D$47*$C$50+WACC!$D$48)*(1-WACC!$D$44)))^(-DCF!$D$21)+DCF!$D$51)/Inputs!$D$15,"n/a"),(SUMPRODUCT(DCF!$D$15:$H$15,(1+(WACC!$D$52*($C$50+$H$45*WACC!$D$28+WACC!$D$29)+WACC!$D$53*(WACC!$D$47*$C$50+WACC!$D$48)*(1-WACC!$D$44)))^(-DCF!$D$12:$H$12))+'Operating Model'!$I$16*Inputs!$D$173*(1+(WACC!$D$52*($C$50+$H$45*WACC!$D$28+WACC!$D$29)+WACC!$D$53*(WACC!$D$47*$C$50+WACC!$D$48)*(1-WACC!$D$44)))^(-DCF!$D$21)+DCF!$D$51)/Inputs!$D$15)</f>
      </c>
    </row>
    <row r="53" spans="2:11" x14ac:dyDescent="0.25">
      <c r="B53" s="3" t="s">
        <v>979</v>
      </c>
      <c r="C53" s="4"/>
      <c r="D53" s="4"/>
      <c r="E53" s="4"/>
      <c r="F53" s="4"/>
      <c r="G53" s="4"/>
      <c r="H53" s="4"/>
      <c r="I53" s="4"/>
      <c r="J53" s="4"/>
      <c r="K53" s="4"/>
    </row>
    <row r="54" spans="2:5" x14ac:dyDescent="0.25">
      <c r="B54" s="2" t="s">
        <v>980</v>
      </c>
      <c r="C54" s="2" t="s">
        <v>326</v>
      </c>
      <c r="D54" s="15">
        <f>Inputs!$D$237*Inputs!$D$233</f>
      </c>
      <c r="E54" s="15">
        <f>Inputs!$D$237*Inputs!$D$234</f>
      </c>
    </row>
    <row r="55" spans="2:10" x14ac:dyDescent="0.25">
      <c r="B55" s="9" t="s">
        <v>981</v>
      </c>
      <c r="C55" s="2" t="s">
        <v>14</v>
      </c>
      <c r="D55" s="35">
        <f>Inputs!$E$23</f>
      </c>
      <c r="E55" s="35">
        <f>$D$55*(1+(Inputs!$D$182+$D$54))</f>
      </c>
      <c r="F55" s="35">
        <f>$E$55*(1+(Inputs!$E$182+$D$54))</f>
      </c>
      <c r="G55" s="35">
        <f>$F$55*(1+(Inputs!$F$182+$D$54))</f>
      </c>
      <c r="H55" s="35">
        <f>$G$55*(1+(Inputs!$G$182+$D$54))</f>
      </c>
      <c r="I55" s="35">
        <f>$H$55*(1+(Inputs!$H$182+$D$54))</f>
      </c>
      <c r="J55" s="35">
        <f>$I$55*(1+Inputs!$D$172)</f>
      </c>
    </row>
    <row r="56" spans="2:10" x14ac:dyDescent="0.25">
      <c r="B56" s="2" t="s">
        <v>982</v>
      </c>
      <c r="C56" s="2" t="s">
        <v>14</v>
      </c>
      <c r="D56" s="20">
        <f>$D$55*((Inputs!$E$26+Inputs!$E$51+Inputs!$E$52)/$D$55)</f>
      </c>
      <c r="E56" s="20">
        <f>$E$55*(Inputs!$D$183+$E$54)</f>
      </c>
      <c r="F56" s="20">
        <f>$F$55*(Inputs!$E$183+$E$54)</f>
      </c>
      <c r="G56" s="20">
        <f>$G$55*(Inputs!$F$183+$E$54)</f>
      </c>
      <c r="H56" s="20">
        <f>$H$55*(Inputs!$G$183+$E$54)</f>
      </c>
      <c r="I56" s="20">
        <f>$I$55*(Inputs!$H$183+$E$54)</f>
      </c>
      <c r="J56" s="20">
        <f>$J$55*(Inputs!$I$183+$E$54)</f>
      </c>
    </row>
    <row r="57" spans="2:10" x14ac:dyDescent="0.25">
      <c r="B57" s="2" t="s">
        <v>983</v>
      </c>
      <c r="C57" s="2" t="s">
        <v>14</v>
      </c>
      <c r="D57" s="20">
        <f>-(Inputs!$E$29+Inputs!$E$30)</f>
      </c>
      <c r="E57" s="20">
        <f>$E$55*Inputs!$D$184</f>
      </c>
      <c r="F57" s="20">
        <f>$F$55*Inputs!$E$184</f>
      </c>
      <c r="G57" s="20">
        <f>$G$55*Inputs!$F$184</f>
      </c>
      <c r="H57" s="20">
        <f>$H$55*Inputs!$G$184</f>
      </c>
      <c r="I57" s="20">
        <f>$I$55*Inputs!$H$184</f>
      </c>
      <c r="J57" s="20">
        <f>$J$55*Inputs!$I$184</f>
      </c>
    </row>
    <row r="58" spans="2:10" x14ac:dyDescent="0.25">
      <c r="B58" s="2" t="s">
        <v>984</v>
      </c>
      <c r="C58" s="2" t="s">
        <v>14</v>
      </c>
      <c r="D58" s="20">
        <f>Normalization!$D$13-Inputs!$E$26-Inputs!$E$29-Inputs!$E$30</f>
      </c>
      <c r="E58" s="20">
        <f>$E$55*Inputs!$D$185</f>
      </c>
      <c r="F58" s="20">
        <f>$F$55*Inputs!$E$185</f>
      </c>
      <c r="G58" s="20">
        <f>$G$55*Inputs!$F$185</f>
      </c>
      <c r="H58" s="20">
        <f>$H$55*Inputs!$G$185</f>
      </c>
      <c r="I58" s="20">
        <f>$I$55*Inputs!$H$185</f>
      </c>
      <c r="J58" s="20">
        <f>$J$55*Inputs!$I$185</f>
      </c>
    </row>
    <row r="59" spans="2:10" x14ac:dyDescent="0.25">
      <c r="B59" s="9" t="s">
        <v>985</v>
      </c>
      <c r="C59" s="2" t="s">
        <v>14</v>
      </c>
      <c r="D59" s="34">
        <f>$D$56-$D$57+$D$58</f>
      </c>
      <c r="E59" s="34">
        <f>$E$56-$E$57+$E$58</f>
      </c>
      <c r="F59" s="34">
        <f>$F$56-$F$57+$F$58</f>
      </c>
      <c r="G59" s="34">
        <f>$G$56-$G$57+$G$58</f>
      </c>
      <c r="H59" s="34">
        <f>$H$56-$H$57+$H$58</f>
      </c>
      <c r="I59" s="34">
        <f>$I$56-$I$57+$I$58</f>
      </c>
      <c r="J59" s="34">
        <f>$J$56-$J$57+$J$58</f>
      </c>
    </row>
    <row r="60" spans="2:10" x14ac:dyDescent="0.25">
      <c r="B60" s="2" t="s">
        <v>986</v>
      </c>
      <c r="C60" s="2" t="s">
        <v>14</v>
      </c>
      <c r="E60" s="20">
        <f>Inputs!$E$57</f>
      </c>
      <c r="F60" s="20">
        <f>$E$65</f>
      </c>
      <c r="G60" s="20">
        <f>$F$65</f>
      </c>
      <c r="H60" s="20">
        <f>$G$65</f>
      </c>
      <c r="I60" s="20">
        <f>$H$65</f>
      </c>
      <c r="J60" s="20">
        <f>$I$65</f>
      </c>
    </row>
    <row r="61" spans="2:10" x14ac:dyDescent="0.25">
      <c r="B61" s="2" t="s">
        <v>987</v>
      </c>
      <c r="C61" s="2" t="s">
        <v>14</v>
      </c>
      <c r="D61" s="20">
        <f>Inputs!$E$51</f>
      </c>
      <c r="E61" s="20">
        <f>IF(Inputs!$D$180="ppe_rollforward",Inputs!$D$187*$E$60,$E$55*Inputs!$D$186)</f>
      </c>
      <c r="F61" s="20">
        <f>IF(Inputs!$D$180="ppe_rollforward",Inputs!$E$187*$F$60,$F$55*Inputs!$E$186)</f>
      </c>
      <c r="G61" s="20">
        <f>IF(Inputs!$D$180="ppe_rollforward",Inputs!$F$187*$G$60,$G$55*Inputs!$F$186)</f>
      </c>
      <c r="H61" s="20">
        <f>IF(Inputs!$D$180="ppe_rollforward",Inputs!$G$187*$H$60,$H$55*Inputs!$G$186)</f>
      </c>
      <c r="I61" s="20">
        <f>IF(Inputs!$D$180="ppe_rollforward",Inputs!$H$187*$I$60,$I$55*Inputs!$H$186)</f>
      </c>
      <c r="J61" s="20">
        <f>IF(Inputs!$D$180="ppe_rollforward",Inputs!$I$187*$J$60,$J$55*Inputs!$I$186)</f>
      </c>
    </row>
    <row r="62" spans="2:10" x14ac:dyDescent="0.25">
      <c r="B62" s="2" t="s">
        <v>988</v>
      </c>
      <c r="C62" s="2" t="s">
        <v>14</v>
      </c>
      <c r="D62" s="20">
        <f>Inputs!$E$52</f>
      </c>
      <c r="E62" s="20">
        <f>IF(Inputs!$D$180="ppe_rollforward",$E$55*Inputs!$D$188,0)</f>
      </c>
      <c r="F62" s="20">
        <f>IF(Inputs!$D$180="ppe_rollforward",$F$55*Inputs!$E$188,0)</f>
      </c>
      <c r="G62" s="20">
        <f>IF(Inputs!$D$180="ppe_rollforward",$G$55*Inputs!$F$188,0)</f>
      </c>
      <c r="H62" s="20">
        <f>IF(Inputs!$D$180="ppe_rollforward",$H$55*Inputs!$G$188,0)</f>
      </c>
      <c r="I62" s="20">
        <f>IF(Inputs!$D$180="ppe_rollforward",$I$55*Inputs!$H$188,0)</f>
      </c>
      <c r="J62" s="20">
        <f>IF(Inputs!$D$180="ppe_rollforward",$J$55*Inputs!$I$188,0)</f>
      </c>
    </row>
    <row r="63" spans="2:10" x14ac:dyDescent="0.25">
      <c r="B63" s="2" t="s">
        <v>989</v>
      </c>
      <c r="C63" s="2" t="s">
        <v>14</v>
      </c>
      <c r="D63" s="20">
        <f>$D$61+$D$62</f>
      </c>
      <c r="E63" s="20">
        <f>$E$61+$E$62</f>
      </c>
      <c r="F63" s="20">
        <f>$F$61+$F$62</f>
      </c>
      <c r="G63" s="20">
        <f>$G$61+$G$62</f>
      </c>
      <c r="H63" s="20">
        <f>$H$61+$H$62</f>
      </c>
      <c r="I63" s="20">
        <f>$I$61+$I$62</f>
      </c>
      <c r="J63" s="20">
        <f>$J$61+$J$62</f>
      </c>
    </row>
    <row r="64" spans="2:10" x14ac:dyDescent="0.25">
      <c r="B64" s="2" t="s">
        <v>990</v>
      </c>
      <c r="C64" s="2" t="s">
        <v>14</v>
      </c>
      <c r="D64" s="20">
        <f>-Inputs!$E$111</f>
      </c>
      <c r="E64" s="20">
        <f>IF(Inputs!$D$181="absolute",Inputs!$D$190,$E$55*Inputs!$D$189)</f>
      </c>
      <c r="F64" s="20">
        <f>IF(Inputs!$D$181="absolute",Inputs!$E$190,$F$55*Inputs!$E$189)</f>
      </c>
      <c r="G64" s="20">
        <f>IF(Inputs!$D$181="absolute",Inputs!$F$190,$G$55*Inputs!$F$189)</f>
      </c>
      <c r="H64" s="20">
        <f>IF(Inputs!$D$181="absolute",Inputs!$G$190,$H$55*Inputs!$G$189)</f>
      </c>
      <c r="I64" s="20">
        <f>IF(Inputs!$D$181="absolute",Inputs!$H$190,$I$55*Inputs!$H$189)</f>
      </c>
      <c r="J64" s="20">
        <f>$J$55*Inputs!$I$189</f>
      </c>
    </row>
    <row r="65" spans="2:10" x14ac:dyDescent="0.25">
      <c r="B65" s="2" t="s">
        <v>991</v>
      </c>
      <c r="C65" s="2" t="s">
        <v>14</v>
      </c>
      <c r="D65" s="20">
        <f>Inputs!$E$57</f>
      </c>
      <c r="E65" s="20">
        <f>$E$60+$E$64-$E$61</f>
      </c>
      <c r="F65" s="20">
        <f>$F$60+$F$64-$F$61</f>
      </c>
      <c r="G65" s="20">
        <f>$G$60+$G$64-$G$61</f>
      </c>
      <c r="H65" s="20">
        <f>$H$60+$H$64-$H$61</f>
      </c>
      <c r="I65" s="20">
        <f>$I$60+$I$64-$I$61</f>
      </c>
      <c r="J65" s="20">
        <f>$J$60+$J$64-$J$61</f>
      </c>
    </row>
    <row r="66" spans="2:10" x14ac:dyDescent="0.25">
      <c r="B66" s="9" t="s">
        <v>992</v>
      </c>
      <c r="C66" s="2" t="s">
        <v>14</v>
      </c>
      <c r="D66" s="35">
        <f>$D$59-$D$63</f>
      </c>
      <c r="E66" s="35">
        <f>$E$59-$E$63</f>
      </c>
      <c r="F66" s="35">
        <f>$F$59-$F$63</f>
      </c>
      <c r="G66" s="35">
        <f>$G$59-$G$63</f>
      </c>
      <c r="H66" s="35">
        <f>$H$59-$H$63</f>
      </c>
      <c r="I66" s="35">
        <f>$I$59-$I$63</f>
      </c>
      <c r="J66" s="35">
        <f>$J$59-$J$63</f>
      </c>
    </row>
    <row r="67" spans="2:10" x14ac:dyDescent="0.25">
      <c r="B67" s="2" t="s">
        <v>993</v>
      </c>
      <c r="C67" s="2" t="s">
        <v>54</v>
      </c>
      <c r="D67" s="11">
        <f>Inputs!$D$133</f>
      </c>
      <c r="E67" s="11">
        <f>Inputs!$D$196</f>
      </c>
      <c r="F67" s="11">
        <f>Inputs!$E$196</f>
      </c>
      <c r="G67" s="11">
        <f>Inputs!$F$196</f>
      </c>
      <c r="H67" s="11">
        <f>Inputs!$G$196</f>
      </c>
      <c r="I67" s="11">
        <f>Inputs!$H$196</f>
      </c>
      <c r="J67" s="11">
        <f>Inputs!$I$196</f>
      </c>
    </row>
    <row r="68" spans="2:10" x14ac:dyDescent="0.25">
      <c r="B68" s="2" t="s">
        <v>994</v>
      </c>
      <c r="C68" s="2" t="s">
        <v>14</v>
      </c>
      <c r="D68" s="20">
        <f>$D$66*$D$67</f>
      </c>
      <c r="E68" s="20">
        <f>$E$66*$E$67</f>
      </c>
      <c r="F68" s="20">
        <f>$F$66*$F$67</f>
      </c>
      <c r="G68" s="20">
        <f>$G$66*$G$67</f>
      </c>
      <c r="H68" s="20">
        <f>$H$66*$H$67</f>
      </c>
      <c r="I68" s="20">
        <f>$I$66*$I$67</f>
      </c>
      <c r="J68" s="20">
        <f>$J$66*$J$67</f>
      </c>
    </row>
    <row r="69" spans="2:10" x14ac:dyDescent="0.25">
      <c r="B69" s="2" t="s">
        <v>995</v>
      </c>
      <c r="C69" s="2" t="s">
        <v>14</v>
      </c>
      <c r="D69" s="33">
        <f>$D$66-$D$68</f>
      </c>
      <c r="E69" s="33">
        <f>$E$66-$E$68</f>
      </c>
      <c r="F69" s="33">
        <f>$F$66-$F$68</f>
      </c>
      <c r="G69" s="33">
        <f>$G$66-$G$68</f>
      </c>
      <c r="H69" s="33">
        <f>$H$66-$H$68</f>
      </c>
      <c r="I69" s="33">
        <f>$I$66-$I$68</f>
      </c>
      <c r="J69" s="33">
        <f>$J$66-$J$68</f>
      </c>
    </row>
    <row r="70" spans="2:10" x14ac:dyDescent="0.25">
      <c r="B70" s="2" t="s">
        <v>996</v>
      </c>
      <c r="C70" s="2" t="s">
        <v>14</v>
      </c>
      <c r="D70" s="20">
        <f>$D$55*(1-((Inputs!$E$26+Inputs!$E$51+Inputs!$E$52)/$D$55))</f>
      </c>
      <c r="E70" s="20">
        <f>$E$55*(1-(Inputs!$D$183+$E$54))</f>
      </c>
      <c r="F70" s="20">
        <f>$F$55*(1-(Inputs!$E$183+$E$54))</f>
      </c>
      <c r="G70" s="20">
        <f>$G$55*(1-(Inputs!$F$183+$E$54))</f>
      </c>
      <c r="H70" s="20">
        <f>$H$55*(1-(Inputs!$G$183+$E$54))</f>
      </c>
      <c r="I70" s="20">
        <f>$I$55*(1-(Inputs!$H$183+$E$54))</f>
      </c>
      <c r="J70" s="20">
        <f>$J$55*(1-(Inputs!$I$183+$E$54))</f>
      </c>
    </row>
    <row r="71" spans="2:10" x14ac:dyDescent="0.25">
      <c r="B71" s="2" t="s">
        <v>997</v>
      </c>
      <c r="C71" s="2" t="s">
        <v>14</v>
      </c>
      <c r="D71" s="20">
        <f>Inputs!$E$67</f>
      </c>
      <c r="E71" s="20">
        <f>$E$55*Inputs!$D$191/Inputs!$D$18</f>
      </c>
      <c r="F71" s="20">
        <f>$F$55*Inputs!$E$191/Inputs!$D$18</f>
      </c>
      <c r="G71" s="20">
        <f>$G$55*Inputs!$F$191/Inputs!$D$18</f>
      </c>
      <c r="H71" s="20">
        <f>$H$55*Inputs!$G$191/Inputs!$D$18</f>
      </c>
      <c r="I71" s="20">
        <f>$I$55*Inputs!$H$191/Inputs!$D$18</f>
      </c>
      <c r="J71" s="20">
        <f>$J$55*Inputs!$I$191/Inputs!$D$18</f>
      </c>
    </row>
    <row r="72" spans="2:10" x14ac:dyDescent="0.25">
      <c r="B72" s="2" t="s">
        <v>998</v>
      </c>
      <c r="C72" s="2" t="s">
        <v>14</v>
      </c>
      <c r="D72" s="20">
        <f>Inputs!$E$66</f>
      </c>
      <c r="E72" s="20">
        <f>$E$70*Inputs!$D$192/Inputs!$D$18</f>
      </c>
      <c r="F72" s="20">
        <f>$F$70*Inputs!$E$192/Inputs!$D$18</f>
      </c>
      <c r="G72" s="20">
        <f>$G$70*Inputs!$F$192/Inputs!$D$18</f>
      </c>
      <c r="H72" s="20">
        <f>$H$70*Inputs!$G$192/Inputs!$D$18</f>
      </c>
      <c r="I72" s="20">
        <f>$I$70*Inputs!$H$192/Inputs!$D$18</f>
      </c>
      <c r="J72" s="20">
        <f>$J$70*Inputs!$I$192/Inputs!$D$18</f>
      </c>
    </row>
    <row r="73" spans="2:10" x14ac:dyDescent="0.25">
      <c r="B73" s="2" t="s">
        <v>999</v>
      </c>
      <c r="C73" s="2" t="s">
        <v>14</v>
      </c>
      <c r="D73" s="20">
        <f>Inputs!$E$93</f>
      </c>
      <c r="E73" s="20">
        <f>$E$70*Inputs!$D$193/Inputs!$D$18</f>
      </c>
      <c r="F73" s="20">
        <f>$F$70*Inputs!$E$193/Inputs!$D$18</f>
      </c>
      <c r="G73" s="20">
        <f>$G$70*Inputs!$F$193/Inputs!$D$18</f>
      </c>
      <c r="H73" s="20">
        <f>$H$70*Inputs!$G$193/Inputs!$D$18</f>
      </c>
      <c r="I73" s="20">
        <f>$I$70*Inputs!$H$193/Inputs!$D$18</f>
      </c>
      <c r="J73" s="20">
        <f>$J$70*Inputs!$I$193/Inputs!$D$18</f>
      </c>
    </row>
    <row r="74" spans="2:10" x14ac:dyDescent="0.25">
      <c r="B74" s="2" t="s">
        <v>1000</v>
      </c>
      <c r="C74" s="2" t="s">
        <v>14</v>
      </c>
      <c r="D74" s="20">
        <f>Inputs!$E$70+Inputs!$E$72+Inputs!$E$71</f>
      </c>
      <c r="E74" s="20">
        <f>$E$55*Inputs!$D$194</f>
      </c>
      <c r="F74" s="20">
        <f>$F$55*Inputs!$E$194</f>
      </c>
      <c r="G74" s="20">
        <f>$G$55*Inputs!$F$194</f>
      </c>
      <c r="H74" s="20">
        <f>$H$55*Inputs!$G$194</f>
      </c>
      <c r="I74" s="20">
        <f>$I$55*Inputs!$H$194</f>
      </c>
      <c r="J74" s="20">
        <f>$J$55*Inputs!$I$194</f>
      </c>
    </row>
    <row r="75" spans="2:10" x14ac:dyDescent="0.25">
      <c r="B75" s="2" t="s">
        <v>1001</v>
      </c>
      <c r="C75" s="2" t="s">
        <v>14</v>
      </c>
      <c r="D75" s="20">
        <f>Inputs!$E$94+Inputs!$E$95+Inputs!$E$97+Inputs!$E$98+Inputs!$E$99</f>
      </c>
      <c r="E75" s="20">
        <f>$E$55*Inputs!$D$195</f>
      </c>
      <c r="F75" s="20">
        <f>$F$55*Inputs!$E$195</f>
      </c>
      <c r="G75" s="20">
        <f>$G$55*Inputs!$F$195</f>
      </c>
      <c r="H75" s="20">
        <f>$H$55*Inputs!$G$195</f>
      </c>
      <c r="I75" s="20">
        <f>$I$55*Inputs!$H$195</f>
      </c>
      <c r="J75" s="20">
        <f>$J$55*Inputs!$I$195</f>
      </c>
    </row>
    <row r="76" spans="2:10" x14ac:dyDescent="0.25">
      <c r="B76" s="2" t="s">
        <v>1002</v>
      </c>
      <c r="C76" s="2" t="s">
        <v>14</v>
      </c>
      <c r="D76" s="33">
        <f>$D$71+$D$72+$D$74-$D$73-$D$75</f>
      </c>
      <c r="E76" s="33">
        <f>$E$71+$E$72+$E$74-$E$73-$E$75</f>
      </c>
      <c r="F76" s="33">
        <f>$F$71+$F$72+$F$74-$F$73-$F$75</f>
      </c>
      <c r="G76" s="33">
        <f>$G$71+$G$72+$G$74-$G$73-$G$75</f>
      </c>
      <c r="H76" s="33">
        <f>$H$71+$H$72+$H$74-$H$73-$H$75</f>
      </c>
      <c r="I76" s="33">
        <f>$I$71+$I$72+$I$74-$I$73-$I$75</f>
      </c>
      <c r="J76" s="33">
        <f>$J$71+$J$72+$J$74-$J$73-$J$75</f>
      </c>
    </row>
    <row r="77" spans="2:10" x14ac:dyDescent="0.25">
      <c r="B77" s="2" t="s">
        <v>1003</v>
      </c>
      <c r="C77" s="2" t="s">
        <v>14</v>
      </c>
      <c r="E77" s="20">
        <f>$E$76-$D$76</f>
      </c>
      <c r="F77" s="20">
        <f>$F$76-$E$76</f>
      </c>
      <c r="G77" s="20">
        <f>$G$76-$F$76</f>
      </c>
      <c r="H77" s="20">
        <f>$H$76-$G$76</f>
      </c>
      <c r="I77" s="20">
        <f>$I$76-$H$76</f>
      </c>
      <c r="J77" s="20">
        <f>$J$76-$I$76</f>
      </c>
    </row>
    <row r="78" spans="2:10" x14ac:dyDescent="0.25">
      <c r="B78" s="2" t="s">
        <v>1004</v>
      </c>
      <c r="C78" s="2" t="s">
        <v>14</v>
      </c>
      <c r="D78" s="20">
        <f>Inputs!$E$49</f>
      </c>
      <c r="E78" s="20">
        <f>$E$69+Inputs!$D$202*(1-$E$67)</f>
      </c>
      <c r="F78" s="20">
        <f>$F$69+Inputs!$D$202*(1-$F$67)</f>
      </c>
      <c r="G78" s="20">
        <f>$G$69+Inputs!$D$202*(1-$G$67)</f>
      </c>
      <c r="H78" s="20">
        <f>$H$69+Inputs!$D$202*(1-$H$67)</f>
      </c>
      <c r="I78" s="20">
        <f>$I$69+Inputs!$D$202*(1-$I$67)</f>
      </c>
      <c r="J78" s="20">
        <f>$J$69+Inputs!$D$202*(1-$J$67)</f>
      </c>
    </row>
    <row r="79" spans="2:10" x14ac:dyDescent="0.25">
      <c r="B79" s="2" t="s">
        <v>1005</v>
      </c>
      <c r="C79" s="2" t="s">
        <v>14</v>
      </c>
      <c r="E79" s="20">
        <f>IF(Inputs!$D$200=1,Inputs!$D$201*$D$78,0)</f>
      </c>
      <c r="F79" s="20">
        <f>IF(Inputs!$D$200=1,Inputs!$D$201*$E$78,0)</f>
      </c>
      <c r="G79" s="20">
        <f>IF(Inputs!$D$200=1,Inputs!$D$201*$F$78,0)</f>
      </c>
      <c r="H79" s="20">
        <f>IF(Inputs!$D$200=1,Inputs!$D$201*$G$78,0)</f>
      </c>
      <c r="I79" s="20">
        <f>IF(Inputs!$D$200=1,Inputs!$D$201*$H$78,0)</f>
      </c>
      <c r="J79" s="20">
        <f>IF(Inputs!$D$200=1,Inputs!$D$201*$I$78,0)</f>
      </c>
    </row>
    <row r="80" spans="2:10" x14ac:dyDescent="0.25">
      <c r="B80" s="9" t="s">
        <v>1006</v>
      </c>
      <c r="C80" s="2" t="s">
        <v>14</v>
      </c>
      <c r="E80" s="34">
        <f>$E$69+$E$63-$E$64-$E$77-$E$79</f>
      </c>
      <c r="F80" s="34">
        <f>$F$69+$F$63-$F$64-$F$77-$F$79</f>
      </c>
      <c r="G80" s="34">
        <f>$G$69+$G$63-$G$64-$G$77-$G$79</f>
      </c>
      <c r="H80" s="34">
        <f>$H$69+$H$63-$H$64-$H$77-$H$79</f>
      </c>
      <c r="I80" s="34">
        <f>$I$69+$I$63-$I$64-$I$77-$I$79</f>
      </c>
      <c r="J80" s="34">
        <f>$J$69+$J$63-$J$64-$J$77-$J$79</f>
      </c>
    </row>
    <row r="81" spans="2:9" x14ac:dyDescent="0.25">
      <c r="B81" s="2" t="s">
        <v>1007</v>
      </c>
      <c r="C81" s="2" t="s">
        <v>14</v>
      </c>
      <c r="E81" s="20">
        <f>$E$80*DCF!$D$10*(1+WACC!$D$54)^(-DCF!$D$12)</f>
      </c>
      <c r="F81" s="20">
        <f>$F$80*DCF!$E$10*(1+WACC!$D$54)^(-DCF!$E$12)</f>
      </c>
      <c r="G81" s="20">
        <f>$G$80*DCF!$F$10*(1+WACC!$D$54)^(-DCF!$F$12)</f>
      </c>
      <c r="H81" s="20">
        <f>$H$80*DCF!$G$10*(1+WACC!$D$54)^(-DCF!$G$12)</f>
      </c>
      <c r="I81" s="20">
        <f>$I$80*DCF!$H$10*(1+WACC!$D$54)^(-DCF!$H$12)</f>
      </c>
    </row>
    <row r="82" spans="2:4" x14ac:dyDescent="0.25">
      <c r="B82" s="2" t="s">
        <v>1008</v>
      </c>
      <c r="C82" s="2" t="s">
        <v>14</v>
      </c>
      <c r="D82" s="20">
        <f>SUM($E$81:$I$81)</f>
      </c>
    </row>
    <row r="83" spans="2:4" x14ac:dyDescent="0.25">
      <c r="B83" s="2" t="s">
        <v>1009</v>
      </c>
      <c r="C83" s="2" t="s">
        <v>14</v>
      </c>
      <c r="D83" s="20">
        <f>IF(Inputs!$D$171="gordon",IF(Inputs!$D$172&lt;WACC!$D$54,$J$80/(WACC!$D$54-Inputs!$D$172),"n/a"),$I$59*Inputs!$D$173)</f>
      </c>
    </row>
    <row r="84" spans="2:4" x14ac:dyDescent="0.25">
      <c r="B84" s="2" t="s">
        <v>1010</v>
      </c>
      <c r="C84" s="2" t="s">
        <v>14</v>
      </c>
      <c r="D84" s="33">
        <f>IFERROR($D$82+$D$83*(1+WACC!$D$54)^(-DCF!$D$21),"n/a")</f>
      </c>
    </row>
    <row r="85" spans="2:4" x14ac:dyDescent="0.25">
      <c r="B85" s="2" t="s">
        <v>1011</v>
      </c>
      <c r="C85" s="2" t="s">
        <v>14</v>
      </c>
      <c r="D85" s="20">
        <f>IFERROR($D$84+DCF!$D$51,"n/a")</f>
      </c>
    </row>
    <row r="86" spans="2:4" x14ac:dyDescent="0.25">
      <c r="B86" s="9" t="s">
        <v>1012</v>
      </c>
      <c r="C86" s="2" t="s">
        <v>14</v>
      </c>
      <c r="D86" s="40">
        <f>IFERROR($D$85/Inputs!$D$15,"n/a")</f>
      </c>
    </row>
    <row r="88" spans="2:5" x14ac:dyDescent="0.25">
      <c r="B88" s="2" t="s">
        <v>1013</v>
      </c>
      <c r="C88" s="2" t="s">
        <v>326</v>
      </c>
      <c r="D88" s="15">
        <f>Inputs!$D$237*Inputs!$D$233</f>
      </c>
      <c r="E88" s="15">
        <f>Inputs!$E$237*Inputs!$D$234</f>
      </c>
    </row>
    <row r="89" spans="2:10" x14ac:dyDescent="0.25">
      <c r="B89" s="9" t="s">
        <v>1014</v>
      </c>
      <c r="C89" s="2" t="s">
        <v>14</v>
      </c>
      <c r="D89" s="35">
        <f>Inputs!$E$23</f>
      </c>
      <c r="E89" s="35">
        <f>$D$89*(1+(Inputs!$D$182+$D$88))</f>
      </c>
      <c r="F89" s="35">
        <f>$E$89*(1+(Inputs!$E$182+$D$88))</f>
      </c>
      <c r="G89" s="35">
        <f>$F$89*(1+(Inputs!$F$182+$D$88))</f>
      </c>
      <c r="H89" s="35">
        <f>$G$89*(1+(Inputs!$G$182+$D$88))</f>
      </c>
      <c r="I89" s="35">
        <f>$H$89*(1+(Inputs!$H$182+$D$88))</f>
      </c>
      <c r="J89" s="35">
        <f>$I$89*(1+Inputs!$D$172)</f>
      </c>
    </row>
    <row r="90" spans="2:10" x14ac:dyDescent="0.25">
      <c r="B90" s="2" t="s">
        <v>1015</v>
      </c>
      <c r="C90" s="2" t="s">
        <v>14</v>
      </c>
      <c r="D90" s="20">
        <f>$D$89*((Inputs!$E$26+Inputs!$E$51+Inputs!$E$52)/$D$89)</f>
      </c>
      <c r="E90" s="20">
        <f>$E$89*(Inputs!$D$183+$E$88)</f>
      </c>
      <c r="F90" s="20">
        <f>$F$89*(Inputs!$E$183+$E$88)</f>
      </c>
      <c r="G90" s="20">
        <f>$G$89*(Inputs!$F$183+$E$88)</f>
      </c>
      <c r="H90" s="20">
        <f>$H$89*(Inputs!$G$183+$E$88)</f>
      </c>
      <c r="I90" s="20">
        <f>$I$89*(Inputs!$H$183+$E$88)</f>
      </c>
      <c r="J90" s="20">
        <f>$J$89*(Inputs!$I$183+$E$88)</f>
      </c>
    </row>
    <row r="91" spans="2:10" x14ac:dyDescent="0.25">
      <c r="B91" s="2" t="s">
        <v>1016</v>
      </c>
      <c r="C91" s="2" t="s">
        <v>14</v>
      </c>
      <c r="D91" s="20">
        <f>-(Inputs!$E$29+Inputs!$E$30)</f>
      </c>
      <c r="E91" s="20">
        <f>$E$89*Inputs!$D$184</f>
      </c>
      <c r="F91" s="20">
        <f>$F$89*Inputs!$E$184</f>
      </c>
      <c r="G91" s="20">
        <f>$G$89*Inputs!$F$184</f>
      </c>
      <c r="H91" s="20">
        <f>$H$89*Inputs!$G$184</f>
      </c>
      <c r="I91" s="20">
        <f>$I$89*Inputs!$H$184</f>
      </c>
      <c r="J91" s="20">
        <f>$J$89*Inputs!$I$184</f>
      </c>
    </row>
    <row r="92" spans="2:10" x14ac:dyDescent="0.25">
      <c r="B92" s="2" t="s">
        <v>1017</v>
      </c>
      <c r="C92" s="2" t="s">
        <v>14</v>
      </c>
      <c r="D92" s="20">
        <f>Normalization!$D$13-Inputs!$E$26-Inputs!$E$29-Inputs!$E$30</f>
      </c>
      <c r="E92" s="20">
        <f>$E$89*Inputs!$D$185</f>
      </c>
      <c r="F92" s="20">
        <f>$F$89*Inputs!$E$185</f>
      </c>
      <c r="G92" s="20">
        <f>$G$89*Inputs!$F$185</f>
      </c>
      <c r="H92" s="20">
        <f>$H$89*Inputs!$G$185</f>
      </c>
      <c r="I92" s="20">
        <f>$I$89*Inputs!$H$185</f>
      </c>
      <c r="J92" s="20">
        <f>$J$89*Inputs!$I$185</f>
      </c>
    </row>
    <row r="93" spans="2:10" x14ac:dyDescent="0.25">
      <c r="B93" s="9" t="s">
        <v>1018</v>
      </c>
      <c r="C93" s="2" t="s">
        <v>14</v>
      </c>
      <c r="D93" s="34">
        <f>$D$90-$D$91+$D$92</f>
      </c>
      <c r="E93" s="34">
        <f>$E$90-$E$91+$E$92</f>
      </c>
      <c r="F93" s="34">
        <f>$F$90-$F$91+$F$92</f>
      </c>
      <c r="G93" s="34">
        <f>$G$90-$G$91+$G$92</f>
      </c>
      <c r="H93" s="34">
        <f>$H$90-$H$91+$H$92</f>
      </c>
      <c r="I93" s="34">
        <f>$I$90-$I$91+$I$92</f>
      </c>
      <c r="J93" s="34">
        <f>$J$90-$J$91+$J$92</f>
      </c>
    </row>
    <row r="94" spans="2:10" x14ac:dyDescent="0.25">
      <c r="B94" s="2" t="s">
        <v>1019</v>
      </c>
      <c r="C94" s="2" t="s">
        <v>14</v>
      </c>
      <c r="E94" s="20">
        <f>Inputs!$E$57</f>
      </c>
      <c r="F94" s="20">
        <f>$E$99</f>
      </c>
      <c r="G94" s="20">
        <f>$F$99</f>
      </c>
      <c r="H94" s="20">
        <f>$G$99</f>
      </c>
      <c r="I94" s="20">
        <f>$H$99</f>
      </c>
      <c r="J94" s="20">
        <f>$I$99</f>
      </c>
    </row>
    <row r="95" spans="2:10" x14ac:dyDescent="0.25">
      <c r="B95" s="2" t="s">
        <v>1020</v>
      </c>
      <c r="C95" s="2" t="s">
        <v>14</v>
      </c>
      <c r="D95" s="20">
        <f>Inputs!$E$51</f>
      </c>
      <c r="E95" s="20">
        <f>IF(Inputs!$D$180="ppe_rollforward",Inputs!$D$187*$E$94,$E$89*Inputs!$D$186)</f>
      </c>
      <c r="F95" s="20">
        <f>IF(Inputs!$D$180="ppe_rollforward",Inputs!$E$187*$F$94,$F$89*Inputs!$E$186)</f>
      </c>
      <c r="G95" s="20">
        <f>IF(Inputs!$D$180="ppe_rollforward",Inputs!$F$187*$G$94,$G$89*Inputs!$F$186)</f>
      </c>
      <c r="H95" s="20">
        <f>IF(Inputs!$D$180="ppe_rollforward",Inputs!$G$187*$H$94,$H$89*Inputs!$G$186)</f>
      </c>
      <c r="I95" s="20">
        <f>IF(Inputs!$D$180="ppe_rollforward",Inputs!$H$187*$I$94,$I$89*Inputs!$H$186)</f>
      </c>
      <c r="J95" s="20">
        <f>IF(Inputs!$D$180="ppe_rollforward",Inputs!$I$187*$J$94,$J$89*Inputs!$I$186)</f>
      </c>
    </row>
    <row r="96" spans="2:10" x14ac:dyDescent="0.25">
      <c r="B96" s="2" t="s">
        <v>1021</v>
      </c>
      <c r="C96" s="2" t="s">
        <v>14</v>
      </c>
      <c r="D96" s="20">
        <f>Inputs!$E$52</f>
      </c>
      <c r="E96" s="20">
        <f>IF(Inputs!$D$180="ppe_rollforward",$E$89*Inputs!$D$188,0)</f>
      </c>
      <c r="F96" s="20">
        <f>IF(Inputs!$D$180="ppe_rollforward",$F$89*Inputs!$E$188,0)</f>
      </c>
      <c r="G96" s="20">
        <f>IF(Inputs!$D$180="ppe_rollforward",$G$89*Inputs!$F$188,0)</f>
      </c>
      <c r="H96" s="20">
        <f>IF(Inputs!$D$180="ppe_rollforward",$H$89*Inputs!$G$188,0)</f>
      </c>
      <c r="I96" s="20">
        <f>IF(Inputs!$D$180="ppe_rollforward",$I$89*Inputs!$H$188,0)</f>
      </c>
      <c r="J96" s="20">
        <f>IF(Inputs!$D$180="ppe_rollforward",$J$89*Inputs!$I$188,0)</f>
      </c>
    </row>
    <row r="97" spans="2:10" x14ac:dyDescent="0.25">
      <c r="B97" s="2" t="s">
        <v>1022</v>
      </c>
      <c r="C97" s="2" t="s">
        <v>14</v>
      </c>
      <c r="D97" s="20">
        <f>$D$95+$D$96</f>
      </c>
      <c r="E97" s="20">
        <f>$E$95+$E$96</f>
      </c>
      <c r="F97" s="20">
        <f>$F$95+$F$96</f>
      </c>
      <c r="G97" s="20">
        <f>$G$95+$G$96</f>
      </c>
      <c r="H97" s="20">
        <f>$H$95+$H$96</f>
      </c>
      <c r="I97" s="20">
        <f>$I$95+$I$96</f>
      </c>
      <c r="J97" s="20">
        <f>$J$95+$J$96</f>
      </c>
    </row>
    <row r="98" spans="2:10" x14ac:dyDescent="0.25">
      <c r="B98" s="2" t="s">
        <v>1023</v>
      </c>
      <c r="C98" s="2" t="s">
        <v>14</v>
      </c>
      <c r="D98" s="20">
        <f>-Inputs!$E$111</f>
      </c>
      <c r="E98" s="20">
        <f>IF(Inputs!$D$181="absolute",Inputs!$D$190,$E$89*Inputs!$D$189)</f>
      </c>
      <c r="F98" s="20">
        <f>IF(Inputs!$D$181="absolute",Inputs!$E$190,$F$89*Inputs!$E$189)</f>
      </c>
      <c r="G98" s="20">
        <f>IF(Inputs!$D$181="absolute",Inputs!$F$190,$G$89*Inputs!$F$189)</f>
      </c>
      <c r="H98" s="20">
        <f>IF(Inputs!$D$181="absolute",Inputs!$G$190,$H$89*Inputs!$G$189)</f>
      </c>
      <c r="I98" s="20">
        <f>IF(Inputs!$D$181="absolute",Inputs!$H$190,$I$89*Inputs!$H$189)</f>
      </c>
      <c r="J98" s="20">
        <f>$J$89*Inputs!$I$189</f>
      </c>
    </row>
    <row r="99" spans="2:10" x14ac:dyDescent="0.25">
      <c r="B99" s="2" t="s">
        <v>1024</v>
      </c>
      <c r="C99" s="2" t="s">
        <v>14</v>
      </c>
      <c r="D99" s="20">
        <f>Inputs!$E$57</f>
      </c>
      <c r="E99" s="20">
        <f>$E$94+$E$98-$E$95</f>
      </c>
      <c r="F99" s="20">
        <f>$F$94+$F$98-$F$95</f>
      </c>
      <c r="G99" s="20">
        <f>$G$94+$G$98-$G$95</f>
      </c>
      <c r="H99" s="20">
        <f>$H$94+$H$98-$H$95</f>
      </c>
      <c r="I99" s="20">
        <f>$I$94+$I$98-$I$95</f>
      </c>
      <c r="J99" s="20">
        <f>$J$94+$J$98-$J$95</f>
      </c>
    </row>
    <row r="100" spans="2:10" x14ac:dyDescent="0.25">
      <c r="B100" s="9" t="s">
        <v>1025</v>
      </c>
      <c r="C100" s="2" t="s">
        <v>14</v>
      </c>
      <c r="D100" s="35">
        <f>$D$93-$D$97</f>
      </c>
      <c r="E100" s="35">
        <f>$E$93-$E$97</f>
      </c>
      <c r="F100" s="35">
        <f>$F$93-$F$97</f>
      </c>
      <c r="G100" s="35">
        <f>$G$93-$G$97</f>
      </c>
      <c r="H100" s="35">
        <f>$H$93-$H$97</f>
      </c>
      <c r="I100" s="35">
        <f>$I$93-$I$97</f>
      </c>
      <c r="J100" s="35">
        <f>$J$93-$J$97</f>
      </c>
    </row>
    <row r="101" spans="2:10" x14ac:dyDescent="0.25">
      <c r="B101" s="2" t="s">
        <v>1026</v>
      </c>
      <c r="C101" s="2" t="s">
        <v>54</v>
      </c>
      <c r="D101" s="11">
        <f>Inputs!$D$133</f>
      </c>
      <c r="E101" s="11">
        <f>Inputs!$D$196</f>
      </c>
      <c r="F101" s="11">
        <f>Inputs!$E$196</f>
      </c>
      <c r="G101" s="11">
        <f>Inputs!$F$196</f>
      </c>
      <c r="H101" s="11">
        <f>Inputs!$G$196</f>
      </c>
      <c r="I101" s="11">
        <f>Inputs!$H$196</f>
      </c>
      <c r="J101" s="11">
        <f>Inputs!$I$196</f>
      </c>
    </row>
    <row r="102" spans="2:10" x14ac:dyDescent="0.25">
      <c r="B102" s="2" t="s">
        <v>1027</v>
      </c>
      <c r="C102" s="2" t="s">
        <v>14</v>
      </c>
      <c r="D102" s="20">
        <f>$D$100*$D$101</f>
      </c>
      <c r="E102" s="20">
        <f>$E$100*$E$101</f>
      </c>
      <c r="F102" s="20">
        <f>$F$100*$F$101</f>
      </c>
      <c r="G102" s="20">
        <f>$G$100*$G$101</f>
      </c>
      <c r="H102" s="20">
        <f>$H$100*$H$101</f>
      </c>
      <c r="I102" s="20">
        <f>$I$100*$I$101</f>
      </c>
      <c r="J102" s="20">
        <f>$J$100*$J$101</f>
      </c>
    </row>
    <row r="103" spans="2:10" x14ac:dyDescent="0.25">
      <c r="B103" s="2" t="s">
        <v>1028</v>
      </c>
      <c r="C103" s="2" t="s">
        <v>14</v>
      </c>
      <c r="D103" s="33">
        <f>$D$100-$D$102</f>
      </c>
      <c r="E103" s="33">
        <f>$E$100-$E$102</f>
      </c>
      <c r="F103" s="33">
        <f>$F$100-$F$102</f>
      </c>
      <c r="G103" s="33">
        <f>$G$100-$G$102</f>
      </c>
      <c r="H103" s="33">
        <f>$H$100-$H$102</f>
      </c>
      <c r="I103" s="33">
        <f>$I$100-$I$102</f>
      </c>
      <c r="J103" s="33">
        <f>$J$100-$J$102</f>
      </c>
    </row>
    <row r="104" spans="2:10" x14ac:dyDescent="0.25">
      <c r="B104" s="2" t="s">
        <v>1029</v>
      </c>
      <c r="C104" s="2" t="s">
        <v>14</v>
      </c>
      <c r="D104" s="20">
        <f>$D$89*(1-((Inputs!$E$26+Inputs!$E$51+Inputs!$E$52)/$D$89))</f>
      </c>
      <c r="E104" s="20">
        <f>$E$89*(1-(Inputs!$D$183+$E$88))</f>
      </c>
      <c r="F104" s="20">
        <f>$F$89*(1-(Inputs!$E$183+$E$88))</f>
      </c>
      <c r="G104" s="20">
        <f>$G$89*(1-(Inputs!$F$183+$E$88))</f>
      </c>
      <c r="H104" s="20">
        <f>$H$89*(1-(Inputs!$G$183+$E$88))</f>
      </c>
      <c r="I104" s="20">
        <f>$I$89*(1-(Inputs!$H$183+$E$88))</f>
      </c>
      <c r="J104" s="20">
        <f>$J$89*(1-(Inputs!$I$183+$E$88))</f>
      </c>
    </row>
    <row r="105" spans="2:10" x14ac:dyDescent="0.25">
      <c r="B105" s="2" t="s">
        <v>1030</v>
      </c>
      <c r="C105" s="2" t="s">
        <v>14</v>
      </c>
      <c r="D105" s="20">
        <f>Inputs!$E$67</f>
      </c>
      <c r="E105" s="20">
        <f>$E$89*Inputs!$D$191/Inputs!$D$18</f>
      </c>
      <c r="F105" s="20">
        <f>$F$89*Inputs!$E$191/Inputs!$D$18</f>
      </c>
      <c r="G105" s="20">
        <f>$G$89*Inputs!$F$191/Inputs!$D$18</f>
      </c>
      <c r="H105" s="20">
        <f>$H$89*Inputs!$G$191/Inputs!$D$18</f>
      </c>
      <c r="I105" s="20">
        <f>$I$89*Inputs!$H$191/Inputs!$D$18</f>
      </c>
      <c r="J105" s="20">
        <f>$J$89*Inputs!$I$191/Inputs!$D$18</f>
      </c>
    </row>
    <row r="106" spans="2:10" x14ac:dyDescent="0.25">
      <c r="B106" s="2" t="s">
        <v>1031</v>
      </c>
      <c r="C106" s="2" t="s">
        <v>14</v>
      </c>
      <c r="D106" s="20">
        <f>Inputs!$E$66</f>
      </c>
      <c r="E106" s="20">
        <f>$E$104*Inputs!$D$192/Inputs!$D$18</f>
      </c>
      <c r="F106" s="20">
        <f>$F$104*Inputs!$E$192/Inputs!$D$18</f>
      </c>
      <c r="G106" s="20">
        <f>$G$104*Inputs!$F$192/Inputs!$D$18</f>
      </c>
      <c r="H106" s="20">
        <f>$H$104*Inputs!$G$192/Inputs!$D$18</f>
      </c>
      <c r="I106" s="20">
        <f>$I$104*Inputs!$H$192/Inputs!$D$18</f>
      </c>
      <c r="J106" s="20">
        <f>$J$104*Inputs!$I$192/Inputs!$D$18</f>
      </c>
    </row>
    <row r="107" spans="2:10" x14ac:dyDescent="0.25">
      <c r="B107" s="2" t="s">
        <v>1032</v>
      </c>
      <c r="C107" s="2" t="s">
        <v>14</v>
      </c>
      <c r="D107" s="20">
        <f>Inputs!$E$93</f>
      </c>
      <c r="E107" s="20">
        <f>$E$104*Inputs!$D$193/Inputs!$D$18</f>
      </c>
      <c r="F107" s="20">
        <f>$F$104*Inputs!$E$193/Inputs!$D$18</f>
      </c>
      <c r="G107" s="20">
        <f>$G$104*Inputs!$F$193/Inputs!$D$18</f>
      </c>
      <c r="H107" s="20">
        <f>$H$104*Inputs!$G$193/Inputs!$D$18</f>
      </c>
      <c r="I107" s="20">
        <f>$I$104*Inputs!$H$193/Inputs!$D$18</f>
      </c>
      <c r="J107" s="20">
        <f>$J$104*Inputs!$I$193/Inputs!$D$18</f>
      </c>
    </row>
    <row r="108" spans="2:10" x14ac:dyDescent="0.25">
      <c r="B108" s="2" t="s">
        <v>1033</v>
      </c>
      <c r="C108" s="2" t="s">
        <v>14</v>
      </c>
      <c r="D108" s="20">
        <f>Inputs!$E$70+Inputs!$E$72+Inputs!$E$71</f>
      </c>
      <c r="E108" s="20">
        <f>$E$89*Inputs!$D$194</f>
      </c>
      <c r="F108" s="20">
        <f>$F$89*Inputs!$E$194</f>
      </c>
      <c r="G108" s="20">
        <f>$G$89*Inputs!$F$194</f>
      </c>
      <c r="H108" s="20">
        <f>$H$89*Inputs!$G$194</f>
      </c>
      <c r="I108" s="20">
        <f>$I$89*Inputs!$H$194</f>
      </c>
      <c r="J108" s="20">
        <f>$J$89*Inputs!$I$194</f>
      </c>
    </row>
    <row r="109" spans="2:10" x14ac:dyDescent="0.25">
      <c r="B109" s="2" t="s">
        <v>1034</v>
      </c>
      <c r="C109" s="2" t="s">
        <v>14</v>
      </c>
      <c r="D109" s="20">
        <f>Inputs!$E$94+Inputs!$E$95+Inputs!$E$97+Inputs!$E$98+Inputs!$E$99</f>
      </c>
      <c r="E109" s="20">
        <f>$E$89*Inputs!$D$195</f>
      </c>
      <c r="F109" s="20">
        <f>$F$89*Inputs!$E$195</f>
      </c>
      <c r="G109" s="20">
        <f>$G$89*Inputs!$F$195</f>
      </c>
      <c r="H109" s="20">
        <f>$H$89*Inputs!$G$195</f>
      </c>
      <c r="I109" s="20">
        <f>$I$89*Inputs!$H$195</f>
      </c>
      <c r="J109" s="20">
        <f>$J$89*Inputs!$I$195</f>
      </c>
    </row>
    <row r="110" spans="2:10" x14ac:dyDescent="0.25">
      <c r="B110" s="2" t="s">
        <v>1035</v>
      </c>
      <c r="C110" s="2" t="s">
        <v>14</v>
      </c>
      <c r="D110" s="33">
        <f>$D$105+$D$106+$D$108-$D$107-$D$109</f>
      </c>
      <c r="E110" s="33">
        <f>$E$105+$E$106+$E$108-$E$107-$E$109</f>
      </c>
      <c r="F110" s="33">
        <f>$F$105+$F$106+$F$108-$F$107-$F$109</f>
      </c>
      <c r="G110" s="33">
        <f>$G$105+$G$106+$G$108-$G$107-$G$109</f>
      </c>
      <c r="H110" s="33">
        <f>$H$105+$H$106+$H$108-$H$107-$H$109</f>
      </c>
      <c r="I110" s="33">
        <f>$I$105+$I$106+$I$108-$I$107-$I$109</f>
      </c>
      <c r="J110" s="33">
        <f>$J$105+$J$106+$J$108-$J$107-$J$109</f>
      </c>
    </row>
    <row r="111" spans="2:10" x14ac:dyDescent="0.25">
      <c r="B111" s="2" t="s">
        <v>1036</v>
      </c>
      <c r="C111" s="2" t="s">
        <v>14</v>
      </c>
      <c r="E111" s="20">
        <f>$E$110-$D$110</f>
      </c>
      <c r="F111" s="20">
        <f>$F$110-$E$110</f>
      </c>
      <c r="G111" s="20">
        <f>$G$110-$F$110</f>
      </c>
      <c r="H111" s="20">
        <f>$H$110-$G$110</f>
      </c>
      <c r="I111" s="20">
        <f>$I$110-$H$110</f>
      </c>
      <c r="J111" s="20">
        <f>$J$110-$I$110</f>
      </c>
    </row>
    <row r="112" spans="2:10" x14ac:dyDescent="0.25">
      <c r="B112" s="2" t="s">
        <v>1037</v>
      </c>
      <c r="C112" s="2" t="s">
        <v>14</v>
      </c>
      <c r="D112" s="20">
        <f>Inputs!$E$49</f>
      </c>
      <c r="E112" s="20">
        <f>$E$103+Inputs!$D$202*(1-$E$101)</f>
      </c>
      <c r="F112" s="20">
        <f>$F$103+Inputs!$D$202*(1-$F$101)</f>
      </c>
      <c r="G112" s="20">
        <f>$G$103+Inputs!$D$202*(1-$G$101)</f>
      </c>
      <c r="H112" s="20">
        <f>$H$103+Inputs!$D$202*(1-$H$101)</f>
      </c>
      <c r="I112" s="20">
        <f>$I$103+Inputs!$D$202*(1-$I$101)</f>
      </c>
      <c r="J112" s="20">
        <f>$J$103+Inputs!$D$202*(1-$J$101)</f>
      </c>
    </row>
    <row r="113" spans="2:10" x14ac:dyDescent="0.25">
      <c r="B113" s="2" t="s">
        <v>1038</v>
      </c>
      <c r="C113" s="2" t="s">
        <v>14</v>
      </c>
      <c r="E113" s="20">
        <f>IF(Inputs!$D$200=1,Inputs!$D$201*$D$112,0)</f>
      </c>
      <c r="F113" s="20">
        <f>IF(Inputs!$D$200=1,Inputs!$D$201*$E$112,0)</f>
      </c>
      <c r="G113" s="20">
        <f>IF(Inputs!$D$200=1,Inputs!$D$201*$F$112,0)</f>
      </c>
      <c r="H113" s="20">
        <f>IF(Inputs!$D$200=1,Inputs!$D$201*$G$112,0)</f>
      </c>
      <c r="I113" s="20">
        <f>IF(Inputs!$D$200=1,Inputs!$D$201*$H$112,0)</f>
      </c>
      <c r="J113" s="20">
        <f>IF(Inputs!$D$200=1,Inputs!$D$201*$I$112,0)</f>
      </c>
    </row>
    <row r="114" spans="2:10" x14ac:dyDescent="0.25">
      <c r="B114" s="9" t="s">
        <v>1039</v>
      </c>
      <c r="C114" s="2" t="s">
        <v>14</v>
      </c>
      <c r="E114" s="34">
        <f>$E$103+$E$97-$E$98-$E$111-$E$113</f>
      </c>
      <c r="F114" s="34">
        <f>$F$103+$F$97-$F$98-$F$111-$F$113</f>
      </c>
      <c r="G114" s="34">
        <f>$G$103+$G$97-$G$98-$G$111-$G$113</f>
      </c>
      <c r="H114" s="34">
        <f>$H$103+$H$97-$H$98-$H$111-$H$113</f>
      </c>
      <c r="I114" s="34">
        <f>$I$103+$I$97-$I$98-$I$111-$I$113</f>
      </c>
      <c r="J114" s="34">
        <f>$J$103+$J$97-$J$98-$J$111-$J$113</f>
      </c>
    </row>
    <row r="115" spans="2:9" x14ac:dyDescent="0.25">
      <c r="B115" s="2" t="s">
        <v>1040</v>
      </c>
      <c r="C115" s="2" t="s">
        <v>14</v>
      </c>
      <c r="E115" s="20">
        <f>$E$114*DCF!$D$10*(1+WACC!$D$54)^(-DCF!$D$12)</f>
      </c>
      <c r="F115" s="20">
        <f>$F$114*DCF!$E$10*(1+WACC!$D$54)^(-DCF!$E$12)</f>
      </c>
      <c r="G115" s="20">
        <f>$G$114*DCF!$F$10*(1+WACC!$D$54)^(-DCF!$F$12)</f>
      </c>
      <c r="H115" s="20">
        <f>$H$114*DCF!$G$10*(1+WACC!$D$54)^(-DCF!$G$12)</f>
      </c>
      <c r="I115" s="20">
        <f>$I$114*DCF!$H$10*(1+WACC!$D$54)^(-DCF!$H$12)</f>
      </c>
    </row>
    <row r="116" spans="2:4" x14ac:dyDescent="0.25">
      <c r="B116" s="2" t="s">
        <v>1041</v>
      </c>
      <c r="C116" s="2" t="s">
        <v>14</v>
      </c>
      <c r="D116" s="20">
        <f>SUM($E$115:$I$115)</f>
      </c>
    </row>
    <row r="117" spans="2:4" x14ac:dyDescent="0.25">
      <c r="B117" s="2" t="s">
        <v>1042</v>
      </c>
      <c r="C117" s="2" t="s">
        <v>14</v>
      </c>
      <c r="D117" s="20">
        <f>IF(Inputs!$D$171="gordon",IF(Inputs!$D$172&lt;WACC!$D$54,$J$114/(WACC!$D$54-Inputs!$D$172),"n/a"),$I$93*Inputs!$D$173)</f>
      </c>
    </row>
    <row r="118" spans="2:4" x14ac:dyDescent="0.25">
      <c r="B118" s="2" t="s">
        <v>1043</v>
      </c>
      <c r="C118" s="2" t="s">
        <v>14</v>
      </c>
      <c r="D118" s="33">
        <f>IFERROR($D$116+$D$117*(1+WACC!$D$54)^(-DCF!$D$21),"n/a")</f>
      </c>
    </row>
    <row r="119" spans="2:4" x14ac:dyDescent="0.25">
      <c r="B119" s="2" t="s">
        <v>1044</v>
      </c>
      <c r="C119" s="2" t="s">
        <v>14</v>
      </c>
      <c r="D119" s="20">
        <f>IFERROR($D$118+DCF!$D$51,"n/a")</f>
      </c>
    </row>
    <row r="120" spans="2:4" x14ac:dyDescent="0.25">
      <c r="B120" s="9" t="s">
        <v>1045</v>
      </c>
      <c r="C120" s="2" t="s">
        <v>14</v>
      </c>
      <c r="D120" s="40">
        <f>IFERROR($D$119/Inputs!$D$15,"n/a")</f>
      </c>
    </row>
    <row r="122" spans="2:5" x14ac:dyDescent="0.25">
      <c r="B122" s="2" t="s">
        <v>1046</v>
      </c>
      <c r="C122" s="2" t="s">
        <v>326</v>
      </c>
      <c r="D122" s="15">
        <f>Inputs!$D$237*Inputs!$D$233</f>
      </c>
      <c r="E122" s="15">
        <f>Inputs!$F$237*Inputs!$D$234</f>
      </c>
    </row>
    <row r="123" spans="2:10" x14ac:dyDescent="0.25">
      <c r="B123" s="9" t="s">
        <v>1047</v>
      </c>
      <c r="C123" s="2" t="s">
        <v>14</v>
      </c>
      <c r="D123" s="35">
        <f>Inputs!$E$23</f>
      </c>
      <c r="E123" s="35">
        <f>$D$123*(1+(Inputs!$D$182+$D$122))</f>
      </c>
      <c r="F123" s="35">
        <f>$E$123*(1+(Inputs!$E$182+$D$122))</f>
      </c>
      <c r="G123" s="35">
        <f>$F$123*(1+(Inputs!$F$182+$D$122))</f>
      </c>
      <c r="H123" s="35">
        <f>$G$123*(1+(Inputs!$G$182+$D$122))</f>
      </c>
      <c r="I123" s="35">
        <f>$H$123*(1+(Inputs!$H$182+$D$122))</f>
      </c>
      <c r="J123" s="35">
        <f>$I$123*(1+Inputs!$D$172)</f>
      </c>
    </row>
    <row r="124" spans="2:10" x14ac:dyDescent="0.25">
      <c r="B124" s="2" t="s">
        <v>1048</v>
      </c>
      <c r="C124" s="2" t="s">
        <v>14</v>
      </c>
      <c r="D124" s="20">
        <f>$D$123*((Inputs!$E$26+Inputs!$E$51+Inputs!$E$52)/$D$123)</f>
      </c>
      <c r="E124" s="20">
        <f>$E$123*(Inputs!$D$183+$E$122)</f>
      </c>
      <c r="F124" s="20">
        <f>$F$123*(Inputs!$E$183+$E$122)</f>
      </c>
      <c r="G124" s="20">
        <f>$G$123*(Inputs!$F$183+$E$122)</f>
      </c>
      <c r="H124" s="20">
        <f>$H$123*(Inputs!$G$183+$E$122)</f>
      </c>
      <c r="I124" s="20">
        <f>$I$123*(Inputs!$H$183+$E$122)</f>
      </c>
      <c r="J124" s="20">
        <f>$J$123*(Inputs!$I$183+$E$122)</f>
      </c>
    </row>
    <row r="125" spans="2:10" x14ac:dyDescent="0.25">
      <c r="B125" s="2" t="s">
        <v>1049</v>
      </c>
      <c r="C125" s="2" t="s">
        <v>14</v>
      </c>
      <c r="D125" s="20">
        <f>-(Inputs!$E$29+Inputs!$E$30)</f>
      </c>
      <c r="E125" s="20">
        <f>$E$123*Inputs!$D$184</f>
      </c>
      <c r="F125" s="20">
        <f>$F$123*Inputs!$E$184</f>
      </c>
      <c r="G125" s="20">
        <f>$G$123*Inputs!$F$184</f>
      </c>
      <c r="H125" s="20">
        <f>$H$123*Inputs!$G$184</f>
      </c>
      <c r="I125" s="20">
        <f>$I$123*Inputs!$H$184</f>
      </c>
      <c r="J125" s="20">
        <f>$J$123*Inputs!$I$184</f>
      </c>
    </row>
    <row r="126" spans="2:10" x14ac:dyDescent="0.25">
      <c r="B126" s="2" t="s">
        <v>1050</v>
      </c>
      <c r="C126" s="2" t="s">
        <v>14</v>
      </c>
      <c r="D126" s="20">
        <f>Normalization!$D$13-Inputs!$E$26-Inputs!$E$29-Inputs!$E$30</f>
      </c>
      <c r="E126" s="20">
        <f>$E$123*Inputs!$D$185</f>
      </c>
      <c r="F126" s="20">
        <f>$F$123*Inputs!$E$185</f>
      </c>
      <c r="G126" s="20">
        <f>$G$123*Inputs!$F$185</f>
      </c>
      <c r="H126" s="20">
        <f>$H$123*Inputs!$G$185</f>
      </c>
      <c r="I126" s="20">
        <f>$I$123*Inputs!$H$185</f>
      </c>
      <c r="J126" s="20">
        <f>$J$123*Inputs!$I$185</f>
      </c>
    </row>
    <row r="127" spans="2:10" x14ac:dyDescent="0.25">
      <c r="B127" s="9" t="s">
        <v>1051</v>
      </c>
      <c r="C127" s="2" t="s">
        <v>14</v>
      </c>
      <c r="D127" s="34">
        <f>$D$124-$D$125+$D$126</f>
      </c>
      <c r="E127" s="34">
        <f>$E$124-$E$125+$E$126</f>
      </c>
      <c r="F127" s="34">
        <f>$F$124-$F$125+$F$126</f>
      </c>
      <c r="G127" s="34">
        <f>$G$124-$G$125+$G$126</f>
      </c>
      <c r="H127" s="34">
        <f>$H$124-$H$125+$H$126</f>
      </c>
      <c r="I127" s="34">
        <f>$I$124-$I$125+$I$126</f>
      </c>
      <c r="J127" s="34">
        <f>$J$124-$J$125+$J$126</f>
      </c>
    </row>
    <row r="128" spans="2:10" x14ac:dyDescent="0.25">
      <c r="B128" s="2" t="s">
        <v>1052</v>
      </c>
      <c r="C128" s="2" t="s">
        <v>14</v>
      </c>
      <c r="E128" s="20">
        <f>Inputs!$E$57</f>
      </c>
      <c r="F128" s="20">
        <f>$E$133</f>
      </c>
      <c r="G128" s="20">
        <f>$F$133</f>
      </c>
      <c r="H128" s="20">
        <f>$G$133</f>
      </c>
      <c r="I128" s="20">
        <f>$H$133</f>
      </c>
      <c r="J128" s="20">
        <f>$I$133</f>
      </c>
    </row>
    <row r="129" spans="2:10" x14ac:dyDescent="0.25">
      <c r="B129" s="2" t="s">
        <v>1053</v>
      </c>
      <c r="C129" s="2" t="s">
        <v>14</v>
      </c>
      <c r="D129" s="20">
        <f>Inputs!$E$51</f>
      </c>
      <c r="E129" s="20">
        <f>IF(Inputs!$D$180="ppe_rollforward",Inputs!$D$187*$E$128,$E$123*Inputs!$D$186)</f>
      </c>
      <c r="F129" s="20">
        <f>IF(Inputs!$D$180="ppe_rollforward",Inputs!$E$187*$F$128,$F$123*Inputs!$E$186)</f>
      </c>
      <c r="G129" s="20">
        <f>IF(Inputs!$D$180="ppe_rollforward",Inputs!$F$187*$G$128,$G$123*Inputs!$F$186)</f>
      </c>
      <c r="H129" s="20">
        <f>IF(Inputs!$D$180="ppe_rollforward",Inputs!$G$187*$H$128,$H$123*Inputs!$G$186)</f>
      </c>
      <c r="I129" s="20">
        <f>IF(Inputs!$D$180="ppe_rollforward",Inputs!$H$187*$I$128,$I$123*Inputs!$H$186)</f>
      </c>
      <c r="J129" s="20">
        <f>IF(Inputs!$D$180="ppe_rollforward",Inputs!$I$187*$J$128,$J$123*Inputs!$I$186)</f>
      </c>
    </row>
    <row r="130" spans="2:10" x14ac:dyDescent="0.25">
      <c r="B130" s="2" t="s">
        <v>1054</v>
      </c>
      <c r="C130" s="2" t="s">
        <v>14</v>
      </c>
      <c r="D130" s="20">
        <f>Inputs!$E$52</f>
      </c>
      <c r="E130" s="20">
        <f>IF(Inputs!$D$180="ppe_rollforward",$E$123*Inputs!$D$188,0)</f>
      </c>
      <c r="F130" s="20">
        <f>IF(Inputs!$D$180="ppe_rollforward",$F$123*Inputs!$E$188,0)</f>
      </c>
      <c r="G130" s="20">
        <f>IF(Inputs!$D$180="ppe_rollforward",$G$123*Inputs!$F$188,0)</f>
      </c>
      <c r="H130" s="20">
        <f>IF(Inputs!$D$180="ppe_rollforward",$H$123*Inputs!$G$188,0)</f>
      </c>
      <c r="I130" s="20">
        <f>IF(Inputs!$D$180="ppe_rollforward",$I$123*Inputs!$H$188,0)</f>
      </c>
      <c r="J130" s="20">
        <f>IF(Inputs!$D$180="ppe_rollforward",$J$123*Inputs!$I$188,0)</f>
      </c>
    </row>
    <row r="131" spans="2:10" x14ac:dyDescent="0.25">
      <c r="B131" s="2" t="s">
        <v>1055</v>
      </c>
      <c r="C131" s="2" t="s">
        <v>14</v>
      </c>
      <c r="D131" s="20">
        <f>$D$129+$D$130</f>
      </c>
      <c r="E131" s="20">
        <f>$E$129+$E$130</f>
      </c>
      <c r="F131" s="20">
        <f>$F$129+$F$130</f>
      </c>
      <c r="G131" s="20">
        <f>$G$129+$G$130</f>
      </c>
      <c r="H131" s="20">
        <f>$H$129+$H$130</f>
      </c>
      <c r="I131" s="20">
        <f>$I$129+$I$130</f>
      </c>
      <c r="J131" s="20">
        <f>$J$129+$J$130</f>
      </c>
    </row>
    <row r="132" spans="2:10" x14ac:dyDescent="0.25">
      <c r="B132" s="2" t="s">
        <v>1056</v>
      </c>
      <c r="C132" s="2" t="s">
        <v>14</v>
      </c>
      <c r="D132" s="20">
        <f>-Inputs!$E$111</f>
      </c>
      <c r="E132" s="20">
        <f>IF(Inputs!$D$181="absolute",Inputs!$D$190,$E$123*Inputs!$D$189)</f>
      </c>
      <c r="F132" s="20">
        <f>IF(Inputs!$D$181="absolute",Inputs!$E$190,$F$123*Inputs!$E$189)</f>
      </c>
      <c r="G132" s="20">
        <f>IF(Inputs!$D$181="absolute",Inputs!$F$190,$G$123*Inputs!$F$189)</f>
      </c>
      <c r="H132" s="20">
        <f>IF(Inputs!$D$181="absolute",Inputs!$G$190,$H$123*Inputs!$G$189)</f>
      </c>
      <c r="I132" s="20">
        <f>IF(Inputs!$D$181="absolute",Inputs!$H$190,$I$123*Inputs!$H$189)</f>
      </c>
      <c r="J132" s="20">
        <f>$J$123*Inputs!$I$189</f>
      </c>
    </row>
    <row r="133" spans="2:10" x14ac:dyDescent="0.25">
      <c r="B133" s="2" t="s">
        <v>1057</v>
      </c>
      <c r="C133" s="2" t="s">
        <v>14</v>
      </c>
      <c r="D133" s="20">
        <f>Inputs!$E$57</f>
      </c>
      <c r="E133" s="20">
        <f>$E$128+$E$132-$E$129</f>
      </c>
      <c r="F133" s="20">
        <f>$F$128+$F$132-$F$129</f>
      </c>
      <c r="G133" s="20">
        <f>$G$128+$G$132-$G$129</f>
      </c>
      <c r="H133" s="20">
        <f>$H$128+$H$132-$H$129</f>
      </c>
      <c r="I133" s="20">
        <f>$I$128+$I$132-$I$129</f>
      </c>
      <c r="J133" s="20">
        <f>$J$128+$J$132-$J$129</f>
      </c>
    </row>
    <row r="134" spans="2:10" x14ac:dyDescent="0.25">
      <c r="B134" s="9" t="s">
        <v>1058</v>
      </c>
      <c r="C134" s="2" t="s">
        <v>14</v>
      </c>
      <c r="D134" s="35">
        <f>$D$127-$D$131</f>
      </c>
      <c r="E134" s="35">
        <f>$E$127-$E$131</f>
      </c>
      <c r="F134" s="35">
        <f>$F$127-$F$131</f>
      </c>
      <c r="G134" s="35">
        <f>$G$127-$G$131</f>
      </c>
      <c r="H134" s="35">
        <f>$H$127-$H$131</f>
      </c>
      <c r="I134" s="35">
        <f>$I$127-$I$131</f>
      </c>
      <c r="J134" s="35">
        <f>$J$127-$J$131</f>
      </c>
    </row>
    <row r="135" spans="2:10" x14ac:dyDescent="0.25">
      <c r="B135" s="2" t="s">
        <v>1059</v>
      </c>
      <c r="C135" s="2" t="s">
        <v>54</v>
      </c>
      <c r="D135" s="11">
        <f>Inputs!$D$133</f>
      </c>
      <c r="E135" s="11">
        <f>Inputs!$D$196</f>
      </c>
      <c r="F135" s="11">
        <f>Inputs!$E$196</f>
      </c>
      <c r="G135" s="11">
        <f>Inputs!$F$196</f>
      </c>
      <c r="H135" s="11">
        <f>Inputs!$G$196</f>
      </c>
      <c r="I135" s="11">
        <f>Inputs!$H$196</f>
      </c>
      <c r="J135" s="11">
        <f>Inputs!$I$196</f>
      </c>
    </row>
    <row r="136" spans="2:10" x14ac:dyDescent="0.25">
      <c r="B136" s="2" t="s">
        <v>1060</v>
      </c>
      <c r="C136" s="2" t="s">
        <v>14</v>
      </c>
      <c r="D136" s="20">
        <f>$D$134*$D$135</f>
      </c>
      <c r="E136" s="20">
        <f>$E$134*$E$135</f>
      </c>
      <c r="F136" s="20">
        <f>$F$134*$F$135</f>
      </c>
      <c r="G136" s="20">
        <f>$G$134*$G$135</f>
      </c>
      <c r="H136" s="20">
        <f>$H$134*$H$135</f>
      </c>
      <c r="I136" s="20">
        <f>$I$134*$I$135</f>
      </c>
      <c r="J136" s="20">
        <f>$J$134*$J$135</f>
      </c>
    </row>
    <row r="137" spans="2:10" x14ac:dyDescent="0.25">
      <c r="B137" s="2" t="s">
        <v>1061</v>
      </c>
      <c r="C137" s="2" t="s">
        <v>14</v>
      </c>
      <c r="D137" s="33">
        <f>$D$134-$D$136</f>
      </c>
      <c r="E137" s="33">
        <f>$E$134-$E$136</f>
      </c>
      <c r="F137" s="33">
        <f>$F$134-$F$136</f>
      </c>
      <c r="G137" s="33">
        <f>$G$134-$G$136</f>
      </c>
      <c r="H137" s="33">
        <f>$H$134-$H$136</f>
      </c>
      <c r="I137" s="33">
        <f>$I$134-$I$136</f>
      </c>
      <c r="J137" s="33">
        <f>$J$134-$J$136</f>
      </c>
    </row>
    <row r="138" spans="2:10" x14ac:dyDescent="0.25">
      <c r="B138" s="2" t="s">
        <v>1062</v>
      </c>
      <c r="C138" s="2" t="s">
        <v>14</v>
      </c>
      <c r="D138" s="20">
        <f>$D$123*(1-((Inputs!$E$26+Inputs!$E$51+Inputs!$E$52)/$D$123))</f>
      </c>
      <c r="E138" s="20">
        <f>$E$123*(1-(Inputs!$D$183+$E$122))</f>
      </c>
      <c r="F138" s="20">
        <f>$F$123*(1-(Inputs!$E$183+$E$122))</f>
      </c>
      <c r="G138" s="20">
        <f>$G$123*(1-(Inputs!$F$183+$E$122))</f>
      </c>
      <c r="H138" s="20">
        <f>$H$123*(1-(Inputs!$G$183+$E$122))</f>
      </c>
      <c r="I138" s="20">
        <f>$I$123*(1-(Inputs!$H$183+$E$122))</f>
      </c>
      <c r="J138" s="20">
        <f>$J$123*(1-(Inputs!$I$183+$E$122))</f>
      </c>
    </row>
    <row r="139" spans="2:10" x14ac:dyDescent="0.25">
      <c r="B139" s="2" t="s">
        <v>1063</v>
      </c>
      <c r="C139" s="2" t="s">
        <v>14</v>
      </c>
      <c r="D139" s="20">
        <f>Inputs!$E$67</f>
      </c>
      <c r="E139" s="20">
        <f>$E$123*Inputs!$D$191/Inputs!$D$18</f>
      </c>
      <c r="F139" s="20">
        <f>$F$123*Inputs!$E$191/Inputs!$D$18</f>
      </c>
      <c r="G139" s="20">
        <f>$G$123*Inputs!$F$191/Inputs!$D$18</f>
      </c>
      <c r="H139" s="20">
        <f>$H$123*Inputs!$G$191/Inputs!$D$18</f>
      </c>
      <c r="I139" s="20">
        <f>$I$123*Inputs!$H$191/Inputs!$D$18</f>
      </c>
      <c r="J139" s="20">
        <f>$J$123*Inputs!$I$191/Inputs!$D$18</f>
      </c>
    </row>
    <row r="140" spans="2:10" x14ac:dyDescent="0.25">
      <c r="B140" s="2" t="s">
        <v>1064</v>
      </c>
      <c r="C140" s="2" t="s">
        <v>14</v>
      </c>
      <c r="D140" s="20">
        <f>Inputs!$E$66</f>
      </c>
      <c r="E140" s="20">
        <f>$E$138*Inputs!$D$192/Inputs!$D$18</f>
      </c>
      <c r="F140" s="20">
        <f>$F$138*Inputs!$E$192/Inputs!$D$18</f>
      </c>
      <c r="G140" s="20">
        <f>$G$138*Inputs!$F$192/Inputs!$D$18</f>
      </c>
      <c r="H140" s="20">
        <f>$H$138*Inputs!$G$192/Inputs!$D$18</f>
      </c>
      <c r="I140" s="20">
        <f>$I$138*Inputs!$H$192/Inputs!$D$18</f>
      </c>
      <c r="J140" s="20">
        <f>$J$138*Inputs!$I$192/Inputs!$D$18</f>
      </c>
    </row>
    <row r="141" spans="2:10" x14ac:dyDescent="0.25">
      <c r="B141" s="2" t="s">
        <v>1065</v>
      </c>
      <c r="C141" s="2" t="s">
        <v>14</v>
      </c>
      <c r="D141" s="20">
        <f>Inputs!$E$93</f>
      </c>
      <c r="E141" s="20">
        <f>$E$138*Inputs!$D$193/Inputs!$D$18</f>
      </c>
      <c r="F141" s="20">
        <f>$F$138*Inputs!$E$193/Inputs!$D$18</f>
      </c>
      <c r="G141" s="20">
        <f>$G$138*Inputs!$F$193/Inputs!$D$18</f>
      </c>
      <c r="H141" s="20">
        <f>$H$138*Inputs!$G$193/Inputs!$D$18</f>
      </c>
      <c r="I141" s="20">
        <f>$I$138*Inputs!$H$193/Inputs!$D$18</f>
      </c>
      <c r="J141" s="20">
        <f>$J$138*Inputs!$I$193/Inputs!$D$18</f>
      </c>
    </row>
    <row r="142" spans="2:10" x14ac:dyDescent="0.25">
      <c r="B142" s="2" t="s">
        <v>1066</v>
      </c>
      <c r="C142" s="2" t="s">
        <v>14</v>
      </c>
      <c r="D142" s="20">
        <f>Inputs!$E$70+Inputs!$E$72+Inputs!$E$71</f>
      </c>
      <c r="E142" s="20">
        <f>$E$123*Inputs!$D$194</f>
      </c>
      <c r="F142" s="20">
        <f>$F$123*Inputs!$E$194</f>
      </c>
      <c r="G142" s="20">
        <f>$G$123*Inputs!$F$194</f>
      </c>
      <c r="H142" s="20">
        <f>$H$123*Inputs!$G$194</f>
      </c>
      <c r="I142" s="20">
        <f>$I$123*Inputs!$H$194</f>
      </c>
      <c r="J142" s="20">
        <f>$J$123*Inputs!$I$194</f>
      </c>
    </row>
    <row r="143" spans="2:10" x14ac:dyDescent="0.25">
      <c r="B143" s="2" t="s">
        <v>1067</v>
      </c>
      <c r="C143" s="2" t="s">
        <v>14</v>
      </c>
      <c r="D143" s="20">
        <f>Inputs!$E$94+Inputs!$E$95+Inputs!$E$97+Inputs!$E$98+Inputs!$E$99</f>
      </c>
      <c r="E143" s="20">
        <f>$E$123*Inputs!$D$195</f>
      </c>
      <c r="F143" s="20">
        <f>$F$123*Inputs!$E$195</f>
      </c>
      <c r="G143" s="20">
        <f>$G$123*Inputs!$F$195</f>
      </c>
      <c r="H143" s="20">
        <f>$H$123*Inputs!$G$195</f>
      </c>
      <c r="I143" s="20">
        <f>$I$123*Inputs!$H$195</f>
      </c>
      <c r="J143" s="20">
        <f>$J$123*Inputs!$I$195</f>
      </c>
    </row>
    <row r="144" spans="2:10" x14ac:dyDescent="0.25">
      <c r="B144" s="2" t="s">
        <v>1068</v>
      </c>
      <c r="C144" s="2" t="s">
        <v>14</v>
      </c>
      <c r="D144" s="33">
        <f>$D$139+$D$140+$D$142-$D$141-$D$143</f>
      </c>
      <c r="E144" s="33">
        <f>$E$139+$E$140+$E$142-$E$141-$E$143</f>
      </c>
      <c r="F144" s="33">
        <f>$F$139+$F$140+$F$142-$F$141-$F$143</f>
      </c>
      <c r="G144" s="33">
        <f>$G$139+$G$140+$G$142-$G$141-$G$143</f>
      </c>
      <c r="H144" s="33">
        <f>$H$139+$H$140+$H$142-$H$141-$H$143</f>
      </c>
      <c r="I144" s="33">
        <f>$I$139+$I$140+$I$142-$I$141-$I$143</f>
      </c>
      <c r="J144" s="33">
        <f>$J$139+$J$140+$J$142-$J$141-$J$143</f>
      </c>
    </row>
    <row r="145" spans="2:10" x14ac:dyDescent="0.25">
      <c r="B145" s="2" t="s">
        <v>1069</v>
      </c>
      <c r="C145" s="2" t="s">
        <v>14</v>
      </c>
      <c r="E145" s="20">
        <f>$E$144-$D$144</f>
      </c>
      <c r="F145" s="20">
        <f>$F$144-$E$144</f>
      </c>
      <c r="G145" s="20">
        <f>$G$144-$F$144</f>
      </c>
      <c r="H145" s="20">
        <f>$H$144-$G$144</f>
      </c>
      <c r="I145" s="20">
        <f>$I$144-$H$144</f>
      </c>
      <c r="J145" s="20">
        <f>$J$144-$I$144</f>
      </c>
    </row>
    <row r="146" spans="2:10" x14ac:dyDescent="0.25">
      <c r="B146" s="2" t="s">
        <v>1070</v>
      </c>
      <c r="C146" s="2" t="s">
        <v>14</v>
      </c>
      <c r="D146" s="20">
        <f>Inputs!$E$49</f>
      </c>
      <c r="E146" s="20">
        <f>$E$137+Inputs!$D$202*(1-$E$135)</f>
      </c>
      <c r="F146" s="20">
        <f>$F$137+Inputs!$D$202*(1-$F$135)</f>
      </c>
      <c r="G146" s="20">
        <f>$G$137+Inputs!$D$202*(1-$G$135)</f>
      </c>
      <c r="H146" s="20">
        <f>$H$137+Inputs!$D$202*(1-$H$135)</f>
      </c>
      <c r="I146" s="20">
        <f>$I$137+Inputs!$D$202*(1-$I$135)</f>
      </c>
      <c r="J146" s="20">
        <f>$J$137+Inputs!$D$202*(1-$J$135)</f>
      </c>
    </row>
    <row r="147" spans="2:10" x14ac:dyDescent="0.25">
      <c r="B147" s="2" t="s">
        <v>1071</v>
      </c>
      <c r="C147" s="2" t="s">
        <v>14</v>
      </c>
      <c r="E147" s="20">
        <f>IF(Inputs!$D$200=1,Inputs!$D$201*$D$146,0)</f>
      </c>
      <c r="F147" s="20">
        <f>IF(Inputs!$D$200=1,Inputs!$D$201*$E$146,0)</f>
      </c>
      <c r="G147" s="20">
        <f>IF(Inputs!$D$200=1,Inputs!$D$201*$F$146,0)</f>
      </c>
      <c r="H147" s="20">
        <f>IF(Inputs!$D$200=1,Inputs!$D$201*$G$146,0)</f>
      </c>
      <c r="I147" s="20">
        <f>IF(Inputs!$D$200=1,Inputs!$D$201*$H$146,0)</f>
      </c>
      <c r="J147" s="20">
        <f>IF(Inputs!$D$200=1,Inputs!$D$201*$I$146,0)</f>
      </c>
    </row>
    <row r="148" spans="2:10" x14ac:dyDescent="0.25">
      <c r="B148" s="9" t="s">
        <v>1072</v>
      </c>
      <c r="C148" s="2" t="s">
        <v>14</v>
      </c>
      <c r="E148" s="34">
        <f>$E$137+$E$131-$E$132-$E$145-$E$147</f>
      </c>
      <c r="F148" s="34">
        <f>$F$137+$F$131-$F$132-$F$145-$F$147</f>
      </c>
      <c r="G148" s="34">
        <f>$G$137+$G$131-$G$132-$G$145-$G$147</f>
      </c>
      <c r="H148" s="34">
        <f>$H$137+$H$131-$H$132-$H$145-$H$147</f>
      </c>
      <c r="I148" s="34">
        <f>$I$137+$I$131-$I$132-$I$145-$I$147</f>
      </c>
      <c r="J148" s="34">
        <f>$J$137+$J$131-$J$132-$J$145-$J$147</f>
      </c>
    </row>
    <row r="149" spans="2:9" x14ac:dyDescent="0.25">
      <c r="B149" s="2" t="s">
        <v>1073</v>
      </c>
      <c r="C149" s="2" t="s">
        <v>14</v>
      </c>
      <c r="E149" s="20">
        <f>$E$148*DCF!$D$10*(1+WACC!$D$54)^(-DCF!$D$12)</f>
      </c>
      <c r="F149" s="20">
        <f>$F$148*DCF!$E$10*(1+WACC!$D$54)^(-DCF!$E$12)</f>
      </c>
      <c r="G149" s="20">
        <f>$G$148*DCF!$F$10*(1+WACC!$D$54)^(-DCF!$F$12)</f>
      </c>
      <c r="H149" s="20">
        <f>$H$148*DCF!$G$10*(1+WACC!$D$54)^(-DCF!$G$12)</f>
      </c>
      <c r="I149" s="20">
        <f>$I$148*DCF!$H$10*(1+WACC!$D$54)^(-DCF!$H$12)</f>
      </c>
    </row>
    <row r="150" spans="2:4" x14ac:dyDescent="0.25">
      <c r="B150" s="2" t="s">
        <v>1074</v>
      </c>
      <c r="C150" s="2" t="s">
        <v>14</v>
      </c>
      <c r="D150" s="20">
        <f>SUM($E$149:$I$149)</f>
      </c>
    </row>
    <row r="151" spans="2:4" x14ac:dyDescent="0.25">
      <c r="B151" s="2" t="s">
        <v>1075</v>
      </c>
      <c r="C151" s="2" t="s">
        <v>14</v>
      </c>
      <c r="D151" s="20">
        <f>IF(Inputs!$D$171="gordon",IF(Inputs!$D$172&lt;WACC!$D$54,$J$148/(WACC!$D$54-Inputs!$D$172),"n/a"),$I$127*Inputs!$D$173)</f>
      </c>
    </row>
    <row r="152" spans="2:4" x14ac:dyDescent="0.25">
      <c r="B152" s="2" t="s">
        <v>1076</v>
      </c>
      <c r="C152" s="2" t="s">
        <v>14</v>
      </c>
      <c r="D152" s="33">
        <f>IFERROR($D$150+$D$151*(1+WACC!$D$54)^(-DCF!$D$21),"n/a")</f>
      </c>
    </row>
    <row r="153" spans="2:4" x14ac:dyDescent="0.25">
      <c r="B153" s="2" t="s">
        <v>1077</v>
      </c>
      <c r="C153" s="2" t="s">
        <v>14</v>
      </c>
      <c r="D153" s="20">
        <f>IFERROR($D$152+DCF!$D$51,"n/a")</f>
      </c>
    </row>
    <row r="154" spans="2:4" x14ac:dyDescent="0.25">
      <c r="B154" s="9" t="s">
        <v>1078</v>
      </c>
      <c r="C154" s="2" t="s">
        <v>14</v>
      </c>
      <c r="D154" s="40">
        <f>IFERROR($D$153/Inputs!$D$15,"n/a")</f>
      </c>
    </row>
    <row r="156" spans="2:5" x14ac:dyDescent="0.25">
      <c r="B156" s="2" t="s">
        <v>1079</v>
      </c>
      <c r="C156" s="2" t="s">
        <v>326</v>
      </c>
      <c r="D156" s="15">
        <f>Inputs!$D$237*Inputs!$D$233</f>
      </c>
      <c r="E156" s="15">
        <f>Inputs!$G$237*Inputs!$D$234</f>
      </c>
    </row>
    <row r="157" spans="2:10" x14ac:dyDescent="0.25">
      <c r="B157" s="9" t="s">
        <v>1080</v>
      </c>
      <c r="C157" s="2" t="s">
        <v>14</v>
      </c>
      <c r="D157" s="35">
        <f>Inputs!$E$23</f>
      </c>
      <c r="E157" s="35">
        <f>$D$157*(1+(Inputs!$D$182+$D$156))</f>
      </c>
      <c r="F157" s="35">
        <f>$E$157*(1+(Inputs!$E$182+$D$156))</f>
      </c>
      <c r="G157" s="35">
        <f>$F$157*(1+(Inputs!$F$182+$D$156))</f>
      </c>
      <c r="H157" s="35">
        <f>$G$157*(1+(Inputs!$G$182+$D$156))</f>
      </c>
      <c r="I157" s="35">
        <f>$H$157*(1+(Inputs!$H$182+$D$156))</f>
      </c>
      <c r="J157" s="35">
        <f>$I$157*(1+Inputs!$D$172)</f>
      </c>
    </row>
    <row r="158" spans="2:10" x14ac:dyDescent="0.25">
      <c r="B158" s="2" t="s">
        <v>1081</v>
      </c>
      <c r="C158" s="2" t="s">
        <v>14</v>
      </c>
      <c r="D158" s="20">
        <f>$D$157*((Inputs!$E$26+Inputs!$E$51+Inputs!$E$52)/$D$157)</f>
      </c>
      <c r="E158" s="20">
        <f>$E$157*(Inputs!$D$183+$E$156)</f>
      </c>
      <c r="F158" s="20">
        <f>$F$157*(Inputs!$E$183+$E$156)</f>
      </c>
      <c r="G158" s="20">
        <f>$G$157*(Inputs!$F$183+$E$156)</f>
      </c>
      <c r="H158" s="20">
        <f>$H$157*(Inputs!$G$183+$E$156)</f>
      </c>
      <c r="I158" s="20">
        <f>$I$157*(Inputs!$H$183+$E$156)</f>
      </c>
      <c r="J158" s="20">
        <f>$J$157*(Inputs!$I$183+$E$156)</f>
      </c>
    </row>
    <row r="159" spans="2:10" x14ac:dyDescent="0.25">
      <c r="B159" s="2" t="s">
        <v>1082</v>
      </c>
      <c r="C159" s="2" t="s">
        <v>14</v>
      </c>
      <c r="D159" s="20">
        <f>-(Inputs!$E$29+Inputs!$E$30)</f>
      </c>
      <c r="E159" s="20">
        <f>$E$157*Inputs!$D$184</f>
      </c>
      <c r="F159" s="20">
        <f>$F$157*Inputs!$E$184</f>
      </c>
      <c r="G159" s="20">
        <f>$G$157*Inputs!$F$184</f>
      </c>
      <c r="H159" s="20">
        <f>$H$157*Inputs!$G$184</f>
      </c>
      <c r="I159" s="20">
        <f>$I$157*Inputs!$H$184</f>
      </c>
      <c r="J159" s="20">
        <f>$J$157*Inputs!$I$184</f>
      </c>
    </row>
    <row r="160" spans="2:10" x14ac:dyDescent="0.25">
      <c r="B160" s="2" t="s">
        <v>1083</v>
      </c>
      <c r="C160" s="2" t="s">
        <v>14</v>
      </c>
      <c r="D160" s="20">
        <f>Normalization!$D$13-Inputs!$E$26-Inputs!$E$29-Inputs!$E$30</f>
      </c>
      <c r="E160" s="20">
        <f>$E$157*Inputs!$D$185</f>
      </c>
      <c r="F160" s="20">
        <f>$F$157*Inputs!$E$185</f>
      </c>
      <c r="G160" s="20">
        <f>$G$157*Inputs!$F$185</f>
      </c>
      <c r="H160" s="20">
        <f>$H$157*Inputs!$G$185</f>
      </c>
      <c r="I160" s="20">
        <f>$I$157*Inputs!$H$185</f>
      </c>
      <c r="J160" s="20">
        <f>$J$157*Inputs!$I$185</f>
      </c>
    </row>
    <row r="161" spans="2:10" x14ac:dyDescent="0.25">
      <c r="B161" s="9" t="s">
        <v>1084</v>
      </c>
      <c r="C161" s="2" t="s">
        <v>14</v>
      </c>
      <c r="D161" s="34">
        <f>$D$158-$D$159+$D$160</f>
      </c>
      <c r="E161" s="34">
        <f>$E$158-$E$159+$E$160</f>
      </c>
      <c r="F161" s="34">
        <f>$F$158-$F$159+$F$160</f>
      </c>
      <c r="G161" s="34">
        <f>$G$158-$G$159+$G$160</f>
      </c>
      <c r="H161" s="34">
        <f>$H$158-$H$159+$H$160</f>
      </c>
      <c r="I161" s="34">
        <f>$I$158-$I$159+$I$160</f>
      </c>
      <c r="J161" s="34">
        <f>$J$158-$J$159+$J$160</f>
      </c>
    </row>
    <row r="162" spans="2:10" x14ac:dyDescent="0.25">
      <c r="B162" s="2" t="s">
        <v>1085</v>
      </c>
      <c r="C162" s="2" t="s">
        <v>14</v>
      </c>
      <c r="E162" s="20">
        <f>Inputs!$E$57</f>
      </c>
      <c r="F162" s="20">
        <f>$E$167</f>
      </c>
      <c r="G162" s="20">
        <f>$F$167</f>
      </c>
      <c r="H162" s="20">
        <f>$G$167</f>
      </c>
      <c r="I162" s="20">
        <f>$H$167</f>
      </c>
      <c r="J162" s="20">
        <f>$I$167</f>
      </c>
    </row>
    <row r="163" spans="2:10" x14ac:dyDescent="0.25">
      <c r="B163" s="2" t="s">
        <v>1086</v>
      </c>
      <c r="C163" s="2" t="s">
        <v>14</v>
      </c>
      <c r="D163" s="20">
        <f>Inputs!$E$51</f>
      </c>
      <c r="E163" s="20">
        <f>IF(Inputs!$D$180="ppe_rollforward",Inputs!$D$187*$E$162,$E$157*Inputs!$D$186)</f>
      </c>
      <c r="F163" s="20">
        <f>IF(Inputs!$D$180="ppe_rollforward",Inputs!$E$187*$F$162,$F$157*Inputs!$E$186)</f>
      </c>
      <c r="G163" s="20">
        <f>IF(Inputs!$D$180="ppe_rollforward",Inputs!$F$187*$G$162,$G$157*Inputs!$F$186)</f>
      </c>
      <c r="H163" s="20">
        <f>IF(Inputs!$D$180="ppe_rollforward",Inputs!$G$187*$H$162,$H$157*Inputs!$G$186)</f>
      </c>
      <c r="I163" s="20">
        <f>IF(Inputs!$D$180="ppe_rollforward",Inputs!$H$187*$I$162,$I$157*Inputs!$H$186)</f>
      </c>
      <c r="J163" s="20">
        <f>IF(Inputs!$D$180="ppe_rollforward",Inputs!$I$187*$J$162,$J$157*Inputs!$I$186)</f>
      </c>
    </row>
    <row r="164" spans="2:10" x14ac:dyDescent="0.25">
      <c r="B164" s="2" t="s">
        <v>1087</v>
      </c>
      <c r="C164" s="2" t="s">
        <v>14</v>
      </c>
      <c r="D164" s="20">
        <f>Inputs!$E$52</f>
      </c>
      <c r="E164" s="20">
        <f>IF(Inputs!$D$180="ppe_rollforward",$E$157*Inputs!$D$188,0)</f>
      </c>
      <c r="F164" s="20">
        <f>IF(Inputs!$D$180="ppe_rollforward",$F$157*Inputs!$E$188,0)</f>
      </c>
      <c r="G164" s="20">
        <f>IF(Inputs!$D$180="ppe_rollforward",$G$157*Inputs!$F$188,0)</f>
      </c>
      <c r="H164" s="20">
        <f>IF(Inputs!$D$180="ppe_rollforward",$H$157*Inputs!$G$188,0)</f>
      </c>
      <c r="I164" s="20">
        <f>IF(Inputs!$D$180="ppe_rollforward",$I$157*Inputs!$H$188,0)</f>
      </c>
      <c r="J164" s="20">
        <f>IF(Inputs!$D$180="ppe_rollforward",$J$157*Inputs!$I$188,0)</f>
      </c>
    </row>
    <row r="165" spans="2:10" x14ac:dyDescent="0.25">
      <c r="B165" s="2" t="s">
        <v>1088</v>
      </c>
      <c r="C165" s="2" t="s">
        <v>14</v>
      </c>
      <c r="D165" s="20">
        <f>$D$163+$D$164</f>
      </c>
      <c r="E165" s="20">
        <f>$E$163+$E$164</f>
      </c>
      <c r="F165" s="20">
        <f>$F$163+$F$164</f>
      </c>
      <c r="G165" s="20">
        <f>$G$163+$G$164</f>
      </c>
      <c r="H165" s="20">
        <f>$H$163+$H$164</f>
      </c>
      <c r="I165" s="20">
        <f>$I$163+$I$164</f>
      </c>
      <c r="J165" s="20">
        <f>$J$163+$J$164</f>
      </c>
    </row>
    <row r="166" spans="2:10" x14ac:dyDescent="0.25">
      <c r="B166" s="2" t="s">
        <v>1089</v>
      </c>
      <c r="C166" s="2" t="s">
        <v>14</v>
      </c>
      <c r="D166" s="20">
        <f>-Inputs!$E$111</f>
      </c>
      <c r="E166" s="20">
        <f>IF(Inputs!$D$181="absolute",Inputs!$D$190,$E$157*Inputs!$D$189)</f>
      </c>
      <c r="F166" s="20">
        <f>IF(Inputs!$D$181="absolute",Inputs!$E$190,$F$157*Inputs!$E$189)</f>
      </c>
      <c r="G166" s="20">
        <f>IF(Inputs!$D$181="absolute",Inputs!$F$190,$G$157*Inputs!$F$189)</f>
      </c>
      <c r="H166" s="20">
        <f>IF(Inputs!$D$181="absolute",Inputs!$G$190,$H$157*Inputs!$G$189)</f>
      </c>
      <c r="I166" s="20">
        <f>IF(Inputs!$D$181="absolute",Inputs!$H$190,$I$157*Inputs!$H$189)</f>
      </c>
      <c r="J166" s="20">
        <f>$J$157*Inputs!$I$189</f>
      </c>
    </row>
    <row r="167" spans="2:10" x14ac:dyDescent="0.25">
      <c r="B167" s="2" t="s">
        <v>1090</v>
      </c>
      <c r="C167" s="2" t="s">
        <v>14</v>
      </c>
      <c r="D167" s="20">
        <f>Inputs!$E$57</f>
      </c>
      <c r="E167" s="20">
        <f>$E$162+$E$166-$E$163</f>
      </c>
      <c r="F167" s="20">
        <f>$F$162+$F$166-$F$163</f>
      </c>
      <c r="G167" s="20">
        <f>$G$162+$G$166-$G$163</f>
      </c>
      <c r="H167" s="20">
        <f>$H$162+$H$166-$H$163</f>
      </c>
      <c r="I167" s="20">
        <f>$I$162+$I$166-$I$163</f>
      </c>
      <c r="J167" s="20">
        <f>$J$162+$J$166-$J$163</f>
      </c>
    </row>
    <row r="168" spans="2:10" x14ac:dyDescent="0.25">
      <c r="B168" s="9" t="s">
        <v>1091</v>
      </c>
      <c r="C168" s="2" t="s">
        <v>14</v>
      </c>
      <c r="D168" s="35">
        <f>$D$161-$D$165</f>
      </c>
      <c r="E168" s="35">
        <f>$E$161-$E$165</f>
      </c>
      <c r="F168" s="35">
        <f>$F$161-$F$165</f>
      </c>
      <c r="G168" s="35">
        <f>$G$161-$G$165</f>
      </c>
      <c r="H168" s="35">
        <f>$H$161-$H$165</f>
      </c>
      <c r="I168" s="35">
        <f>$I$161-$I$165</f>
      </c>
      <c r="J168" s="35">
        <f>$J$161-$J$165</f>
      </c>
    </row>
    <row r="169" spans="2:10" x14ac:dyDescent="0.25">
      <c r="B169" s="2" t="s">
        <v>1092</v>
      </c>
      <c r="C169" s="2" t="s">
        <v>54</v>
      </c>
      <c r="D169" s="11">
        <f>Inputs!$D$133</f>
      </c>
      <c r="E169" s="11">
        <f>Inputs!$D$196</f>
      </c>
      <c r="F169" s="11">
        <f>Inputs!$E$196</f>
      </c>
      <c r="G169" s="11">
        <f>Inputs!$F$196</f>
      </c>
      <c r="H169" s="11">
        <f>Inputs!$G$196</f>
      </c>
      <c r="I169" s="11">
        <f>Inputs!$H$196</f>
      </c>
      <c r="J169" s="11">
        <f>Inputs!$I$196</f>
      </c>
    </row>
    <row r="170" spans="2:10" x14ac:dyDescent="0.25">
      <c r="B170" s="2" t="s">
        <v>1093</v>
      </c>
      <c r="C170" s="2" t="s">
        <v>14</v>
      </c>
      <c r="D170" s="20">
        <f>$D$168*$D$169</f>
      </c>
      <c r="E170" s="20">
        <f>$E$168*$E$169</f>
      </c>
      <c r="F170" s="20">
        <f>$F$168*$F$169</f>
      </c>
      <c r="G170" s="20">
        <f>$G$168*$G$169</f>
      </c>
      <c r="H170" s="20">
        <f>$H$168*$H$169</f>
      </c>
      <c r="I170" s="20">
        <f>$I$168*$I$169</f>
      </c>
      <c r="J170" s="20">
        <f>$J$168*$J$169</f>
      </c>
    </row>
    <row r="171" spans="2:10" x14ac:dyDescent="0.25">
      <c r="B171" s="2" t="s">
        <v>1094</v>
      </c>
      <c r="C171" s="2" t="s">
        <v>14</v>
      </c>
      <c r="D171" s="33">
        <f>$D$168-$D$170</f>
      </c>
      <c r="E171" s="33">
        <f>$E$168-$E$170</f>
      </c>
      <c r="F171" s="33">
        <f>$F$168-$F$170</f>
      </c>
      <c r="G171" s="33">
        <f>$G$168-$G$170</f>
      </c>
      <c r="H171" s="33">
        <f>$H$168-$H$170</f>
      </c>
      <c r="I171" s="33">
        <f>$I$168-$I$170</f>
      </c>
      <c r="J171" s="33">
        <f>$J$168-$J$170</f>
      </c>
    </row>
    <row r="172" spans="2:10" x14ac:dyDescent="0.25">
      <c r="B172" s="2" t="s">
        <v>1095</v>
      </c>
      <c r="C172" s="2" t="s">
        <v>14</v>
      </c>
      <c r="D172" s="20">
        <f>$D$157*(1-((Inputs!$E$26+Inputs!$E$51+Inputs!$E$52)/$D$157))</f>
      </c>
      <c r="E172" s="20">
        <f>$E$157*(1-(Inputs!$D$183+$E$156))</f>
      </c>
      <c r="F172" s="20">
        <f>$F$157*(1-(Inputs!$E$183+$E$156))</f>
      </c>
      <c r="G172" s="20">
        <f>$G$157*(1-(Inputs!$F$183+$E$156))</f>
      </c>
      <c r="H172" s="20">
        <f>$H$157*(1-(Inputs!$G$183+$E$156))</f>
      </c>
      <c r="I172" s="20">
        <f>$I$157*(1-(Inputs!$H$183+$E$156))</f>
      </c>
      <c r="J172" s="20">
        <f>$J$157*(1-(Inputs!$I$183+$E$156))</f>
      </c>
    </row>
    <row r="173" spans="2:10" x14ac:dyDescent="0.25">
      <c r="B173" s="2" t="s">
        <v>1096</v>
      </c>
      <c r="C173" s="2" t="s">
        <v>14</v>
      </c>
      <c r="D173" s="20">
        <f>Inputs!$E$67</f>
      </c>
      <c r="E173" s="20">
        <f>$E$157*Inputs!$D$191/Inputs!$D$18</f>
      </c>
      <c r="F173" s="20">
        <f>$F$157*Inputs!$E$191/Inputs!$D$18</f>
      </c>
      <c r="G173" s="20">
        <f>$G$157*Inputs!$F$191/Inputs!$D$18</f>
      </c>
      <c r="H173" s="20">
        <f>$H$157*Inputs!$G$191/Inputs!$D$18</f>
      </c>
      <c r="I173" s="20">
        <f>$I$157*Inputs!$H$191/Inputs!$D$18</f>
      </c>
      <c r="J173" s="20">
        <f>$J$157*Inputs!$I$191/Inputs!$D$18</f>
      </c>
    </row>
    <row r="174" spans="2:10" x14ac:dyDescent="0.25">
      <c r="B174" s="2" t="s">
        <v>1097</v>
      </c>
      <c r="C174" s="2" t="s">
        <v>14</v>
      </c>
      <c r="D174" s="20">
        <f>Inputs!$E$66</f>
      </c>
      <c r="E174" s="20">
        <f>$E$172*Inputs!$D$192/Inputs!$D$18</f>
      </c>
      <c r="F174" s="20">
        <f>$F$172*Inputs!$E$192/Inputs!$D$18</f>
      </c>
      <c r="G174" s="20">
        <f>$G$172*Inputs!$F$192/Inputs!$D$18</f>
      </c>
      <c r="H174" s="20">
        <f>$H$172*Inputs!$G$192/Inputs!$D$18</f>
      </c>
      <c r="I174" s="20">
        <f>$I$172*Inputs!$H$192/Inputs!$D$18</f>
      </c>
      <c r="J174" s="20">
        <f>$J$172*Inputs!$I$192/Inputs!$D$18</f>
      </c>
    </row>
    <row r="175" spans="2:10" x14ac:dyDescent="0.25">
      <c r="B175" s="2" t="s">
        <v>1098</v>
      </c>
      <c r="C175" s="2" t="s">
        <v>14</v>
      </c>
      <c r="D175" s="20">
        <f>Inputs!$E$93</f>
      </c>
      <c r="E175" s="20">
        <f>$E$172*Inputs!$D$193/Inputs!$D$18</f>
      </c>
      <c r="F175" s="20">
        <f>$F$172*Inputs!$E$193/Inputs!$D$18</f>
      </c>
      <c r="G175" s="20">
        <f>$G$172*Inputs!$F$193/Inputs!$D$18</f>
      </c>
      <c r="H175" s="20">
        <f>$H$172*Inputs!$G$193/Inputs!$D$18</f>
      </c>
      <c r="I175" s="20">
        <f>$I$172*Inputs!$H$193/Inputs!$D$18</f>
      </c>
      <c r="J175" s="20">
        <f>$J$172*Inputs!$I$193/Inputs!$D$18</f>
      </c>
    </row>
    <row r="176" spans="2:10" x14ac:dyDescent="0.25">
      <c r="B176" s="2" t="s">
        <v>1099</v>
      </c>
      <c r="C176" s="2" t="s">
        <v>14</v>
      </c>
      <c r="D176" s="20">
        <f>Inputs!$E$70+Inputs!$E$72+Inputs!$E$71</f>
      </c>
      <c r="E176" s="20">
        <f>$E$157*Inputs!$D$194</f>
      </c>
      <c r="F176" s="20">
        <f>$F$157*Inputs!$E$194</f>
      </c>
      <c r="G176" s="20">
        <f>$G$157*Inputs!$F$194</f>
      </c>
      <c r="H176" s="20">
        <f>$H$157*Inputs!$G$194</f>
      </c>
      <c r="I176" s="20">
        <f>$I$157*Inputs!$H$194</f>
      </c>
      <c r="J176" s="20">
        <f>$J$157*Inputs!$I$194</f>
      </c>
    </row>
    <row r="177" spans="2:10" x14ac:dyDescent="0.25">
      <c r="B177" s="2" t="s">
        <v>1100</v>
      </c>
      <c r="C177" s="2" t="s">
        <v>14</v>
      </c>
      <c r="D177" s="20">
        <f>Inputs!$E$94+Inputs!$E$95+Inputs!$E$97+Inputs!$E$98+Inputs!$E$99</f>
      </c>
      <c r="E177" s="20">
        <f>$E$157*Inputs!$D$195</f>
      </c>
      <c r="F177" s="20">
        <f>$F$157*Inputs!$E$195</f>
      </c>
      <c r="G177" s="20">
        <f>$G$157*Inputs!$F$195</f>
      </c>
      <c r="H177" s="20">
        <f>$H$157*Inputs!$G$195</f>
      </c>
      <c r="I177" s="20">
        <f>$I$157*Inputs!$H$195</f>
      </c>
      <c r="J177" s="20">
        <f>$J$157*Inputs!$I$195</f>
      </c>
    </row>
    <row r="178" spans="2:10" x14ac:dyDescent="0.25">
      <c r="B178" s="2" t="s">
        <v>1101</v>
      </c>
      <c r="C178" s="2" t="s">
        <v>14</v>
      </c>
      <c r="D178" s="33">
        <f>$D$173+$D$174+$D$176-$D$175-$D$177</f>
      </c>
      <c r="E178" s="33">
        <f>$E$173+$E$174+$E$176-$E$175-$E$177</f>
      </c>
      <c r="F178" s="33">
        <f>$F$173+$F$174+$F$176-$F$175-$F$177</f>
      </c>
      <c r="G178" s="33">
        <f>$G$173+$G$174+$G$176-$G$175-$G$177</f>
      </c>
      <c r="H178" s="33">
        <f>$H$173+$H$174+$H$176-$H$175-$H$177</f>
      </c>
      <c r="I178" s="33">
        <f>$I$173+$I$174+$I$176-$I$175-$I$177</f>
      </c>
      <c r="J178" s="33">
        <f>$J$173+$J$174+$J$176-$J$175-$J$177</f>
      </c>
    </row>
    <row r="179" spans="2:10" x14ac:dyDescent="0.25">
      <c r="B179" s="2" t="s">
        <v>1102</v>
      </c>
      <c r="C179" s="2" t="s">
        <v>14</v>
      </c>
      <c r="E179" s="20">
        <f>$E$178-$D$178</f>
      </c>
      <c r="F179" s="20">
        <f>$F$178-$E$178</f>
      </c>
      <c r="G179" s="20">
        <f>$G$178-$F$178</f>
      </c>
      <c r="H179" s="20">
        <f>$H$178-$G$178</f>
      </c>
      <c r="I179" s="20">
        <f>$I$178-$H$178</f>
      </c>
      <c r="J179" s="20">
        <f>$J$178-$I$178</f>
      </c>
    </row>
    <row r="180" spans="2:10" x14ac:dyDescent="0.25">
      <c r="B180" s="2" t="s">
        <v>1103</v>
      </c>
      <c r="C180" s="2" t="s">
        <v>14</v>
      </c>
      <c r="D180" s="20">
        <f>Inputs!$E$49</f>
      </c>
      <c r="E180" s="20">
        <f>$E$171+Inputs!$D$202*(1-$E$169)</f>
      </c>
      <c r="F180" s="20">
        <f>$F$171+Inputs!$D$202*(1-$F$169)</f>
      </c>
      <c r="G180" s="20">
        <f>$G$171+Inputs!$D$202*(1-$G$169)</f>
      </c>
      <c r="H180" s="20">
        <f>$H$171+Inputs!$D$202*(1-$H$169)</f>
      </c>
      <c r="I180" s="20">
        <f>$I$171+Inputs!$D$202*(1-$I$169)</f>
      </c>
      <c r="J180" s="20">
        <f>$J$171+Inputs!$D$202*(1-$J$169)</f>
      </c>
    </row>
    <row r="181" spans="2:10" x14ac:dyDescent="0.25">
      <c r="B181" s="2" t="s">
        <v>1104</v>
      </c>
      <c r="C181" s="2" t="s">
        <v>14</v>
      </c>
      <c r="E181" s="20">
        <f>IF(Inputs!$D$200=1,Inputs!$D$201*$D$180,0)</f>
      </c>
      <c r="F181" s="20">
        <f>IF(Inputs!$D$200=1,Inputs!$D$201*$E$180,0)</f>
      </c>
      <c r="G181" s="20">
        <f>IF(Inputs!$D$200=1,Inputs!$D$201*$F$180,0)</f>
      </c>
      <c r="H181" s="20">
        <f>IF(Inputs!$D$200=1,Inputs!$D$201*$G$180,0)</f>
      </c>
      <c r="I181" s="20">
        <f>IF(Inputs!$D$200=1,Inputs!$D$201*$H$180,0)</f>
      </c>
      <c r="J181" s="20">
        <f>IF(Inputs!$D$200=1,Inputs!$D$201*$I$180,0)</f>
      </c>
    </row>
    <row r="182" spans="2:10" x14ac:dyDescent="0.25">
      <c r="B182" s="9" t="s">
        <v>1105</v>
      </c>
      <c r="C182" s="2" t="s">
        <v>14</v>
      </c>
      <c r="E182" s="34">
        <f>$E$171+$E$165-$E$166-$E$179-$E$181</f>
      </c>
      <c r="F182" s="34">
        <f>$F$171+$F$165-$F$166-$F$179-$F$181</f>
      </c>
      <c r="G182" s="34">
        <f>$G$171+$G$165-$G$166-$G$179-$G$181</f>
      </c>
      <c r="H182" s="34">
        <f>$H$171+$H$165-$H$166-$H$179-$H$181</f>
      </c>
      <c r="I182" s="34">
        <f>$I$171+$I$165-$I$166-$I$179-$I$181</f>
      </c>
      <c r="J182" s="34">
        <f>$J$171+$J$165-$J$166-$J$179-$J$181</f>
      </c>
    </row>
    <row r="183" spans="2:9" x14ac:dyDescent="0.25">
      <c r="B183" s="2" t="s">
        <v>1106</v>
      </c>
      <c r="C183" s="2" t="s">
        <v>14</v>
      </c>
      <c r="E183" s="20">
        <f>$E$182*DCF!$D$10*(1+WACC!$D$54)^(-DCF!$D$12)</f>
      </c>
      <c r="F183" s="20">
        <f>$F$182*DCF!$E$10*(1+WACC!$D$54)^(-DCF!$E$12)</f>
      </c>
      <c r="G183" s="20">
        <f>$G$182*DCF!$F$10*(1+WACC!$D$54)^(-DCF!$F$12)</f>
      </c>
      <c r="H183" s="20">
        <f>$H$182*DCF!$G$10*(1+WACC!$D$54)^(-DCF!$G$12)</f>
      </c>
      <c r="I183" s="20">
        <f>$I$182*DCF!$H$10*(1+WACC!$D$54)^(-DCF!$H$12)</f>
      </c>
    </row>
    <row r="184" spans="2:4" x14ac:dyDescent="0.25">
      <c r="B184" s="2" t="s">
        <v>1107</v>
      </c>
      <c r="C184" s="2" t="s">
        <v>14</v>
      </c>
      <c r="D184" s="20">
        <f>SUM($E$183:$I$183)</f>
      </c>
    </row>
    <row r="185" spans="2:4" x14ac:dyDescent="0.25">
      <c r="B185" s="2" t="s">
        <v>1108</v>
      </c>
      <c r="C185" s="2" t="s">
        <v>14</v>
      </c>
      <c r="D185" s="20">
        <f>IF(Inputs!$D$171="gordon",IF(Inputs!$D$172&lt;WACC!$D$54,$J$182/(WACC!$D$54-Inputs!$D$172),"n/a"),$I$161*Inputs!$D$173)</f>
      </c>
    </row>
    <row r="186" spans="2:4" x14ac:dyDescent="0.25">
      <c r="B186" s="2" t="s">
        <v>1109</v>
      </c>
      <c r="C186" s="2" t="s">
        <v>14</v>
      </c>
      <c r="D186" s="33">
        <f>IFERROR($D$184+$D$185*(1+WACC!$D$54)^(-DCF!$D$21),"n/a")</f>
      </c>
    </row>
    <row r="187" spans="2:4" x14ac:dyDescent="0.25">
      <c r="B187" s="2" t="s">
        <v>1110</v>
      </c>
      <c r="C187" s="2" t="s">
        <v>14</v>
      </c>
      <c r="D187" s="20">
        <f>IFERROR($D$186+DCF!$D$51,"n/a")</f>
      </c>
    </row>
    <row r="188" spans="2:4" x14ac:dyDescent="0.25">
      <c r="B188" s="9" t="s">
        <v>1111</v>
      </c>
      <c r="C188" s="2" t="s">
        <v>14</v>
      </c>
      <c r="D188" s="40">
        <f>IFERROR($D$187/Inputs!$D$15,"n/a")</f>
      </c>
    </row>
    <row r="190" spans="2:5" x14ac:dyDescent="0.25">
      <c r="B190" s="2" t="s">
        <v>1112</v>
      </c>
      <c r="C190" s="2" t="s">
        <v>326</v>
      </c>
      <c r="D190" s="15">
        <f>Inputs!$D$237*Inputs!$D$233</f>
      </c>
      <c r="E190" s="15">
        <f>Inputs!$H$237*Inputs!$D$234</f>
      </c>
    </row>
    <row r="191" spans="2:10" x14ac:dyDescent="0.25">
      <c r="B191" s="9" t="s">
        <v>1113</v>
      </c>
      <c r="C191" s="2" t="s">
        <v>14</v>
      </c>
      <c r="D191" s="35">
        <f>Inputs!$E$23</f>
      </c>
      <c r="E191" s="35">
        <f>$D$191*(1+(Inputs!$D$182+$D$190))</f>
      </c>
      <c r="F191" s="35">
        <f>$E$191*(1+(Inputs!$E$182+$D$190))</f>
      </c>
      <c r="G191" s="35">
        <f>$F$191*(1+(Inputs!$F$182+$D$190))</f>
      </c>
      <c r="H191" s="35">
        <f>$G$191*(1+(Inputs!$G$182+$D$190))</f>
      </c>
      <c r="I191" s="35">
        <f>$H$191*(1+(Inputs!$H$182+$D$190))</f>
      </c>
      <c r="J191" s="35">
        <f>$I$191*(1+Inputs!$D$172)</f>
      </c>
    </row>
    <row r="192" spans="2:10" x14ac:dyDescent="0.25">
      <c r="B192" s="2" t="s">
        <v>1114</v>
      </c>
      <c r="C192" s="2" t="s">
        <v>14</v>
      </c>
      <c r="D192" s="20">
        <f>$D$191*((Inputs!$E$26+Inputs!$E$51+Inputs!$E$52)/$D$191)</f>
      </c>
      <c r="E192" s="20">
        <f>$E$191*(Inputs!$D$183+$E$190)</f>
      </c>
      <c r="F192" s="20">
        <f>$F$191*(Inputs!$E$183+$E$190)</f>
      </c>
      <c r="G192" s="20">
        <f>$G$191*(Inputs!$F$183+$E$190)</f>
      </c>
      <c r="H192" s="20">
        <f>$H$191*(Inputs!$G$183+$E$190)</f>
      </c>
      <c r="I192" s="20">
        <f>$I$191*(Inputs!$H$183+$E$190)</f>
      </c>
      <c r="J192" s="20">
        <f>$J$191*(Inputs!$I$183+$E$190)</f>
      </c>
    </row>
    <row r="193" spans="2:10" x14ac:dyDescent="0.25">
      <c r="B193" s="2" t="s">
        <v>1115</v>
      </c>
      <c r="C193" s="2" t="s">
        <v>14</v>
      </c>
      <c r="D193" s="20">
        <f>-(Inputs!$E$29+Inputs!$E$30)</f>
      </c>
      <c r="E193" s="20">
        <f>$E$191*Inputs!$D$184</f>
      </c>
      <c r="F193" s="20">
        <f>$F$191*Inputs!$E$184</f>
      </c>
      <c r="G193" s="20">
        <f>$G$191*Inputs!$F$184</f>
      </c>
      <c r="H193" s="20">
        <f>$H$191*Inputs!$G$184</f>
      </c>
      <c r="I193" s="20">
        <f>$I$191*Inputs!$H$184</f>
      </c>
      <c r="J193" s="20">
        <f>$J$191*Inputs!$I$184</f>
      </c>
    </row>
    <row r="194" spans="2:10" x14ac:dyDescent="0.25">
      <c r="B194" s="2" t="s">
        <v>1116</v>
      </c>
      <c r="C194" s="2" t="s">
        <v>14</v>
      </c>
      <c r="D194" s="20">
        <f>Normalization!$D$13-Inputs!$E$26-Inputs!$E$29-Inputs!$E$30</f>
      </c>
      <c r="E194" s="20">
        <f>$E$191*Inputs!$D$185</f>
      </c>
      <c r="F194" s="20">
        <f>$F$191*Inputs!$E$185</f>
      </c>
      <c r="G194" s="20">
        <f>$G$191*Inputs!$F$185</f>
      </c>
      <c r="H194" s="20">
        <f>$H$191*Inputs!$G$185</f>
      </c>
      <c r="I194" s="20">
        <f>$I$191*Inputs!$H$185</f>
      </c>
      <c r="J194" s="20">
        <f>$J$191*Inputs!$I$185</f>
      </c>
    </row>
    <row r="195" spans="2:10" x14ac:dyDescent="0.25">
      <c r="B195" s="9" t="s">
        <v>1117</v>
      </c>
      <c r="C195" s="2" t="s">
        <v>14</v>
      </c>
      <c r="D195" s="34">
        <f>$D$192-$D$193+$D$194</f>
      </c>
      <c r="E195" s="34">
        <f>$E$192-$E$193+$E$194</f>
      </c>
      <c r="F195" s="34">
        <f>$F$192-$F$193+$F$194</f>
      </c>
      <c r="G195" s="34">
        <f>$G$192-$G$193+$G$194</f>
      </c>
      <c r="H195" s="34">
        <f>$H$192-$H$193+$H$194</f>
      </c>
      <c r="I195" s="34">
        <f>$I$192-$I$193+$I$194</f>
      </c>
      <c r="J195" s="34">
        <f>$J$192-$J$193+$J$194</f>
      </c>
    </row>
    <row r="196" spans="2:10" x14ac:dyDescent="0.25">
      <c r="B196" s="2" t="s">
        <v>1118</v>
      </c>
      <c r="C196" s="2" t="s">
        <v>14</v>
      </c>
      <c r="E196" s="20">
        <f>Inputs!$E$57</f>
      </c>
      <c r="F196" s="20">
        <f>$E$201</f>
      </c>
      <c r="G196" s="20">
        <f>$F$201</f>
      </c>
      <c r="H196" s="20">
        <f>$G$201</f>
      </c>
      <c r="I196" s="20">
        <f>$H$201</f>
      </c>
      <c r="J196" s="20">
        <f>$I$201</f>
      </c>
    </row>
    <row r="197" spans="2:10" x14ac:dyDescent="0.25">
      <c r="B197" s="2" t="s">
        <v>1119</v>
      </c>
      <c r="C197" s="2" t="s">
        <v>14</v>
      </c>
      <c r="D197" s="20">
        <f>Inputs!$E$51</f>
      </c>
      <c r="E197" s="20">
        <f>IF(Inputs!$D$180="ppe_rollforward",Inputs!$D$187*$E$196,$E$191*Inputs!$D$186)</f>
      </c>
      <c r="F197" s="20">
        <f>IF(Inputs!$D$180="ppe_rollforward",Inputs!$E$187*$F$196,$F$191*Inputs!$E$186)</f>
      </c>
      <c r="G197" s="20">
        <f>IF(Inputs!$D$180="ppe_rollforward",Inputs!$F$187*$G$196,$G$191*Inputs!$F$186)</f>
      </c>
      <c r="H197" s="20">
        <f>IF(Inputs!$D$180="ppe_rollforward",Inputs!$G$187*$H$196,$H$191*Inputs!$G$186)</f>
      </c>
      <c r="I197" s="20">
        <f>IF(Inputs!$D$180="ppe_rollforward",Inputs!$H$187*$I$196,$I$191*Inputs!$H$186)</f>
      </c>
      <c r="J197" s="20">
        <f>IF(Inputs!$D$180="ppe_rollforward",Inputs!$I$187*$J$196,$J$191*Inputs!$I$186)</f>
      </c>
    </row>
    <row r="198" spans="2:10" x14ac:dyDescent="0.25">
      <c r="B198" s="2" t="s">
        <v>1120</v>
      </c>
      <c r="C198" s="2" t="s">
        <v>14</v>
      </c>
      <c r="D198" s="20">
        <f>Inputs!$E$52</f>
      </c>
      <c r="E198" s="20">
        <f>IF(Inputs!$D$180="ppe_rollforward",$E$191*Inputs!$D$188,0)</f>
      </c>
      <c r="F198" s="20">
        <f>IF(Inputs!$D$180="ppe_rollforward",$F$191*Inputs!$E$188,0)</f>
      </c>
      <c r="G198" s="20">
        <f>IF(Inputs!$D$180="ppe_rollforward",$G$191*Inputs!$F$188,0)</f>
      </c>
      <c r="H198" s="20">
        <f>IF(Inputs!$D$180="ppe_rollforward",$H$191*Inputs!$G$188,0)</f>
      </c>
      <c r="I198" s="20">
        <f>IF(Inputs!$D$180="ppe_rollforward",$I$191*Inputs!$H$188,0)</f>
      </c>
      <c r="J198" s="20">
        <f>IF(Inputs!$D$180="ppe_rollforward",$J$191*Inputs!$I$188,0)</f>
      </c>
    </row>
    <row r="199" spans="2:10" x14ac:dyDescent="0.25">
      <c r="B199" s="2" t="s">
        <v>1121</v>
      </c>
      <c r="C199" s="2" t="s">
        <v>14</v>
      </c>
      <c r="D199" s="20">
        <f>$D$197+$D$198</f>
      </c>
      <c r="E199" s="20">
        <f>$E$197+$E$198</f>
      </c>
      <c r="F199" s="20">
        <f>$F$197+$F$198</f>
      </c>
      <c r="G199" s="20">
        <f>$G$197+$G$198</f>
      </c>
      <c r="H199" s="20">
        <f>$H$197+$H$198</f>
      </c>
      <c r="I199" s="20">
        <f>$I$197+$I$198</f>
      </c>
      <c r="J199" s="20">
        <f>$J$197+$J$198</f>
      </c>
    </row>
    <row r="200" spans="2:10" x14ac:dyDescent="0.25">
      <c r="B200" s="2" t="s">
        <v>1122</v>
      </c>
      <c r="C200" s="2" t="s">
        <v>14</v>
      </c>
      <c r="D200" s="20">
        <f>-Inputs!$E$111</f>
      </c>
      <c r="E200" s="20">
        <f>IF(Inputs!$D$181="absolute",Inputs!$D$190,$E$191*Inputs!$D$189)</f>
      </c>
      <c r="F200" s="20">
        <f>IF(Inputs!$D$181="absolute",Inputs!$E$190,$F$191*Inputs!$E$189)</f>
      </c>
      <c r="G200" s="20">
        <f>IF(Inputs!$D$181="absolute",Inputs!$F$190,$G$191*Inputs!$F$189)</f>
      </c>
      <c r="H200" s="20">
        <f>IF(Inputs!$D$181="absolute",Inputs!$G$190,$H$191*Inputs!$G$189)</f>
      </c>
      <c r="I200" s="20">
        <f>IF(Inputs!$D$181="absolute",Inputs!$H$190,$I$191*Inputs!$H$189)</f>
      </c>
      <c r="J200" s="20">
        <f>$J$191*Inputs!$I$189</f>
      </c>
    </row>
    <row r="201" spans="2:10" x14ac:dyDescent="0.25">
      <c r="B201" s="2" t="s">
        <v>1123</v>
      </c>
      <c r="C201" s="2" t="s">
        <v>14</v>
      </c>
      <c r="D201" s="20">
        <f>Inputs!$E$57</f>
      </c>
      <c r="E201" s="20">
        <f>$E$196+$E$200-$E$197</f>
      </c>
      <c r="F201" s="20">
        <f>$F$196+$F$200-$F$197</f>
      </c>
      <c r="G201" s="20">
        <f>$G$196+$G$200-$G$197</f>
      </c>
      <c r="H201" s="20">
        <f>$H$196+$H$200-$H$197</f>
      </c>
      <c r="I201" s="20">
        <f>$I$196+$I$200-$I$197</f>
      </c>
      <c r="J201" s="20">
        <f>$J$196+$J$200-$J$197</f>
      </c>
    </row>
    <row r="202" spans="2:10" x14ac:dyDescent="0.25">
      <c r="B202" s="9" t="s">
        <v>1124</v>
      </c>
      <c r="C202" s="2" t="s">
        <v>14</v>
      </c>
      <c r="D202" s="35">
        <f>$D$195-$D$199</f>
      </c>
      <c r="E202" s="35">
        <f>$E$195-$E$199</f>
      </c>
      <c r="F202" s="35">
        <f>$F$195-$F$199</f>
      </c>
      <c r="G202" s="35">
        <f>$G$195-$G$199</f>
      </c>
      <c r="H202" s="35">
        <f>$H$195-$H$199</f>
      </c>
      <c r="I202" s="35">
        <f>$I$195-$I$199</f>
      </c>
      <c r="J202" s="35">
        <f>$J$195-$J$199</f>
      </c>
    </row>
    <row r="203" spans="2:10" x14ac:dyDescent="0.25">
      <c r="B203" s="2" t="s">
        <v>1125</v>
      </c>
      <c r="C203" s="2" t="s">
        <v>54</v>
      </c>
      <c r="D203" s="11">
        <f>Inputs!$D$133</f>
      </c>
      <c r="E203" s="11">
        <f>Inputs!$D$196</f>
      </c>
      <c r="F203" s="11">
        <f>Inputs!$E$196</f>
      </c>
      <c r="G203" s="11">
        <f>Inputs!$F$196</f>
      </c>
      <c r="H203" s="11">
        <f>Inputs!$G$196</f>
      </c>
      <c r="I203" s="11">
        <f>Inputs!$H$196</f>
      </c>
      <c r="J203" s="11">
        <f>Inputs!$I$196</f>
      </c>
    </row>
    <row r="204" spans="2:10" x14ac:dyDescent="0.25">
      <c r="B204" s="2" t="s">
        <v>1126</v>
      </c>
      <c r="C204" s="2" t="s">
        <v>14</v>
      </c>
      <c r="D204" s="20">
        <f>$D$202*$D$203</f>
      </c>
      <c r="E204" s="20">
        <f>$E$202*$E$203</f>
      </c>
      <c r="F204" s="20">
        <f>$F$202*$F$203</f>
      </c>
      <c r="G204" s="20">
        <f>$G$202*$G$203</f>
      </c>
      <c r="H204" s="20">
        <f>$H$202*$H$203</f>
      </c>
      <c r="I204" s="20">
        <f>$I$202*$I$203</f>
      </c>
      <c r="J204" s="20">
        <f>$J$202*$J$203</f>
      </c>
    </row>
    <row r="205" spans="2:10" x14ac:dyDescent="0.25">
      <c r="B205" s="2" t="s">
        <v>1127</v>
      </c>
      <c r="C205" s="2" t="s">
        <v>14</v>
      </c>
      <c r="D205" s="33">
        <f>$D$202-$D$204</f>
      </c>
      <c r="E205" s="33">
        <f>$E$202-$E$204</f>
      </c>
      <c r="F205" s="33">
        <f>$F$202-$F$204</f>
      </c>
      <c r="G205" s="33">
        <f>$G$202-$G$204</f>
      </c>
      <c r="H205" s="33">
        <f>$H$202-$H$204</f>
      </c>
      <c r="I205" s="33">
        <f>$I$202-$I$204</f>
      </c>
      <c r="J205" s="33">
        <f>$J$202-$J$204</f>
      </c>
    </row>
    <row r="206" spans="2:10" x14ac:dyDescent="0.25">
      <c r="B206" s="2" t="s">
        <v>1128</v>
      </c>
      <c r="C206" s="2" t="s">
        <v>14</v>
      </c>
      <c r="D206" s="20">
        <f>$D$191*(1-((Inputs!$E$26+Inputs!$E$51+Inputs!$E$52)/$D$191))</f>
      </c>
      <c r="E206" s="20">
        <f>$E$191*(1-(Inputs!$D$183+$E$190))</f>
      </c>
      <c r="F206" s="20">
        <f>$F$191*(1-(Inputs!$E$183+$E$190))</f>
      </c>
      <c r="G206" s="20">
        <f>$G$191*(1-(Inputs!$F$183+$E$190))</f>
      </c>
      <c r="H206" s="20">
        <f>$H$191*(1-(Inputs!$G$183+$E$190))</f>
      </c>
      <c r="I206" s="20">
        <f>$I$191*(1-(Inputs!$H$183+$E$190))</f>
      </c>
      <c r="J206" s="20">
        <f>$J$191*(1-(Inputs!$I$183+$E$190))</f>
      </c>
    </row>
    <row r="207" spans="2:10" x14ac:dyDescent="0.25">
      <c r="B207" s="2" t="s">
        <v>1129</v>
      </c>
      <c r="C207" s="2" t="s">
        <v>14</v>
      </c>
      <c r="D207" s="20">
        <f>Inputs!$E$67</f>
      </c>
      <c r="E207" s="20">
        <f>$E$191*Inputs!$D$191/Inputs!$D$18</f>
      </c>
      <c r="F207" s="20">
        <f>$F$191*Inputs!$E$191/Inputs!$D$18</f>
      </c>
      <c r="G207" s="20">
        <f>$G$191*Inputs!$F$191/Inputs!$D$18</f>
      </c>
      <c r="H207" s="20">
        <f>$H$191*Inputs!$G$191/Inputs!$D$18</f>
      </c>
      <c r="I207" s="20">
        <f>$I$191*Inputs!$H$191/Inputs!$D$18</f>
      </c>
      <c r="J207" s="20">
        <f>$J$191*Inputs!$I$191/Inputs!$D$18</f>
      </c>
    </row>
    <row r="208" spans="2:10" x14ac:dyDescent="0.25">
      <c r="B208" s="2" t="s">
        <v>1130</v>
      </c>
      <c r="C208" s="2" t="s">
        <v>14</v>
      </c>
      <c r="D208" s="20">
        <f>Inputs!$E$66</f>
      </c>
      <c r="E208" s="20">
        <f>$E$206*Inputs!$D$192/Inputs!$D$18</f>
      </c>
      <c r="F208" s="20">
        <f>$F$206*Inputs!$E$192/Inputs!$D$18</f>
      </c>
      <c r="G208" s="20">
        <f>$G$206*Inputs!$F$192/Inputs!$D$18</f>
      </c>
      <c r="H208" s="20">
        <f>$H$206*Inputs!$G$192/Inputs!$D$18</f>
      </c>
      <c r="I208" s="20">
        <f>$I$206*Inputs!$H$192/Inputs!$D$18</f>
      </c>
      <c r="J208" s="20">
        <f>$J$206*Inputs!$I$192/Inputs!$D$18</f>
      </c>
    </row>
    <row r="209" spans="2:10" x14ac:dyDescent="0.25">
      <c r="B209" s="2" t="s">
        <v>1131</v>
      </c>
      <c r="C209" s="2" t="s">
        <v>14</v>
      </c>
      <c r="D209" s="20">
        <f>Inputs!$E$93</f>
      </c>
      <c r="E209" s="20">
        <f>$E$206*Inputs!$D$193/Inputs!$D$18</f>
      </c>
      <c r="F209" s="20">
        <f>$F$206*Inputs!$E$193/Inputs!$D$18</f>
      </c>
      <c r="G209" s="20">
        <f>$G$206*Inputs!$F$193/Inputs!$D$18</f>
      </c>
      <c r="H209" s="20">
        <f>$H$206*Inputs!$G$193/Inputs!$D$18</f>
      </c>
      <c r="I209" s="20">
        <f>$I$206*Inputs!$H$193/Inputs!$D$18</f>
      </c>
      <c r="J209" s="20">
        <f>$J$206*Inputs!$I$193/Inputs!$D$18</f>
      </c>
    </row>
    <row r="210" spans="2:10" x14ac:dyDescent="0.25">
      <c r="B210" s="2" t="s">
        <v>1132</v>
      </c>
      <c r="C210" s="2" t="s">
        <v>14</v>
      </c>
      <c r="D210" s="20">
        <f>Inputs!$E$70+Inputs!$E$72+Inputs!$E$71</f>
      </c>
      <c r="E210" s="20">
        <f>$E$191*Inputs!$D$194</f>
      </c>
      <c r="F210" s="20">
        <f>$F$191*Inputs!$E$194</f>
      </c>
      <c r="G210" s="20">
        <f>$G$191*Inputs!$F$194</f>
      </c>
      <c r="H210" s="20">
        <f>$H$191*Inputs!$G$194</f>
      </c>
      <c r="I210" s="20">
        <f>$I$191*Inputs!$H$194</f>
      </c>
      <c r="J210" s="20">
        <f>$J$191*Inputs!$I$194</f>
      </c>
    </row>
    <row r="211" spans="2:10" x14ac:dyDescent="0.25">
      <c r="B211" s="2" t="s">
        <v>1133</v>
      </c>
      <c r="C211" s="2" t="s">
        <v>14</v>
      </c>
      <c r="D211" s="20">
        <f>Inputs!$E$94+Inputs!$E$95+Inputs!$E$97+Inputs!$E$98+Inputs!$E$99</f>
      </c>
      <c r="E211" s="20">
        <f>$E$191*Inputs!$D$195</f>
      </c>
      <c r="F211" s="20">
        <f>$F$191*Inputs!$E$195</f>
      </c>
      <c r="G211" s="20">
        <f>$G$191*Inputs!$F$195</f>
      </c>
      <c r="H211" s="20">
        <f>$H$191*Inputs!$G$195</f>
      </c>
      <c r="I211" s="20">
        <f>$I$191*Inputs!$H$195</f>
      </c>
      <c r="J211" s="20">
        <f>$J$191*Inputs!$I$195</f>
      </c>
    </row>
    <row r="212" spans="2:10" x14ac:dyDescent="0.25">
      <c r="B212" s="2" t="s">
        <v>1134</v>
      </c>
      <c r="C212" s="2" t="s">
        <v>14</v>
      </c>
      <c r="D212" s="33">
        <f>$D$207+$D$208+$D$210-$D$209-$D$211</f>
      </c>
      <c r="E212" s="33">
        <f>$E$207+$E$208+$E$210-$E$209-$E$211</f>
      </c>
      <c r="F212" s="33">
        <f>$F$207+$F$208+$F$210-$F$209-$F$211</f>
      </c>
      <c r="G212" s="33">
        <f>$G$207+$G$208+$G$210-$G$209-$G$211</f>
      </c>
      <c r="H212" s="33">
        <f>$H$207+$H$208+$H$210-$H$209-$H$211</f>
      </c>
      <c r="I212" s="33">
        <f>$I$207+$I$208+$I$210-$I$209-$I$211</f>
      </c>
      <c r="J212" s="33">
        <f>$J$207+$J$208+$J$210-$J$209-$J$211</f>
      </c>
    </row>
    <row r="213" spans="2:10" x14ac:dyDescent="0.25">
      <c r="B213" s="2" t="s">
        <v>1135</v>
      </c>
      <c r="C213" s="2" t="s">
        <v>14</v>
      </c>
      <c r="E213" s="20">
        <f>$E$212-$D$212</f>
      </c>
      <c r="F213" s="20">
        <f>$F$212-$E$212</f>
      </c>
      <c r="G213" s="20">
        <f>$G$212-$F$212</f>
      </c>
      <c r="H213" s="20">
        <f>$H$212-$G$212</f>
      </c>
      <c r="I213" s="20">
        <f>$I$212-$H$212</f>
      </c>
      <c r="J213" s="20">
        <f>$J$212-$I$212</f>
      </c>
    </row>
    <row r="214" spans="2:10" x14ac:dyDescent="0.25">
      <c r="B214" s="2" t="s">
        <v>1136</v>
      </c>
      <c r="C214" s="2" t="s">
        <v>14</v>
      </c>
      <c r="D214" s="20">
        <f>Inputs!$E$49</f>
      </c>
      <c r="E214" s="20">
        <f>$E$205+Inputs!$D$202*(1-$E$203)</f>
      </c>
      <c r="F214" s="20">
        <f>$F$205+Inputs!$D$202*(1-$F$203)</f>
      </c>
      <c r="G214" s="20">
        <f>$G$205+Inputs!$D$202*(1-$G$203)</f>
      </c>
      <c r="H214" s="20">
        <f>$H$205+Inputs!$D$202*(1-$H$203)</f>
      </c>
      <c r="I214" s="20">
        <f>$I$205+Inputs!$D$202*(1-$I$203)</f>
      </c>
      <c r="J214" s="20">
        <f>$J$205+Inputs!$D$202*(1-$J$203)</f>
      </c>
    </row>
    <row r="215" spans="2:10" x14ac:dyDescent="0.25">
      <c r="B215" s="2" t="s">
        <v>1137</v>
      </c>
      <c r="C215" s="2" t="s">
        <v>14</v>
      </c>
      <c r="E215" s="20">
        <f>IF(Inputs!$D$200=1,Inputs!$D$201*$D$214,0)</f>
      </c>
      <c r="F215" s="20">
        <f>IF(Inputs!$D$200=1,Inputs!$D$201*$E$214,0)</f>
      </c>
      <c r="G215" s="20">
        <f>IF(Inputs!$D$200=1,Inputs!$D$201*$F$214,0)</f>
      </c>
      <c r="H215" s="20">
        <f>IF(Inputs!$D$200=1,Inputs!$D$201*$G$214,0)</f>
      </c>
      <c r="I215" s="20">
        <f>IF(Inputs!$D$200=1,Inputs!$D$201*$H$214,0)</f>
      </c>
      <c r="J215" s="20">
        <f>IF(Inputs!$D$200=1,Inputs!$D$201*$I$214,0)</f>
      </c>
    </row>
    <row r="216" spans="2:10" x14ac:dyDescent="0.25">
      <c r="B216" s="9" t="s">
        <v>1138</v>
      </c>
      <c r="C216" s="2" t="s">
        <v>14</v>
      </c>
      <c r="E216" s="34">
        <f>$E$205+$E$199-$E$200-$E$213-$E$215</f>
      </c>
      <c r="F216" s="34">
        <f>$F$205+$F$199-$F$200-$F$213-$F$215</f>
      </c>
      <c r="G216" s="34">
        <f>$G$205+$G$199-$G$200-$G$213-$G$215</f>
      </c>
      <c r="H216" s="34">
        <f>$H$205+$H$199-$H$200-$H$213-$H$215</f>
      </c>
      <c r="I216" s="34">
        <f>$I$205+$I$199-$I$200-$I$213-$I$215</f>
      </c>
      <c r="J216" s="34">
        <f>$J$205+$J$199-$J$200-$J$213-$J$215</f>
      </c>
    </row>
    <row r="217" spans="2:9" x14ac:dyDescent="0.25">
      <c r="B217" s="2" t="s">
        <v>1139</v>
      </c>
      <c r="C217" s="2" t="s">
        <v>14</v>
      </c>
      <c r="E217" s="20">
        <f>$E$216*DCF!$D$10*(1+WACC!$D$54)^(-DCF!$D$12)</f>
      </c>
      <c r="F217" s="20">
        <f>$F$216*DCF!$E$10*(1+WACC!$D$54)^(-DCF!$E$12)</f>
      </c>
      <c r="G217" s="20">
        <f>$G$216*DCF!$F$10*(1+WACC!$D$54)^(-DCF!$F$12)</f>
      </c>
      <c r="H217" s="20">
        <f>$H$216*DCF!$G$10*(1+WACC!$D$54)^(-DCF!$G$12)</f>
      </c>
      <c r="I217" s="20">
        <f>$I$216*DCF!$H$10*(1+WACC!$D$54)^(-DCF!$H$12)</f>
      </c>
    </row>
    <row r="218" spans="2:4" x14ac:dyDescent="0.25">
      <c r="B218" s="2" t="s">
        <v>1140</v>
      </c>
      <c r="C218" s="2" t="s">
        <v>14</v>
      </c>
      <c r="D218" s="20">
        <f>SUM($E$217:$I$217)</f>
      </c>
    </row>
    <row r="219" spans="2:4" x14ac:dyDescent="0.25">
      <c r="B219" s="2" t="s">
        <v>1141</v>
      </c>
      <c r="C219" s="2" t="s">
        <v>14</v>
      </c>
      <c r="D219" s="20">
        <f>IF(Inputs!$D$171="gordon",IF(Inputs!$D$172&lt;WACC!$D$54,$J$216/(WACC!$D$54-Inputs!$D$172),"n/a"),$I$195*Inputs!$D$173)</f>
      </c>
    </row>
    <row r="220" spans="2:4" x14ac:dyDescent="0.25">
      <c r="B220" s="2" t="s">
        <v>1142</v>
      </c>
      <c r="C220" s="2" t="s">
        <v>14</v>
      </c>
      <c r="D220" s="33">
        <f>IFERROR($D$218+$D$219*(1+WACC!$D$54)^(-DCF!$D$21),"n/a")</f>
      </c>
    </row>
    <row r="221" spans="2:4" x14ac:dyDescent="0.25">
      <c r="B221" s="2" t="s">
        <v>1143</v>
      </c>
      <c r="C221" s="2" t="s">
        <v>14</v>
      </c>
      <c r="D221" s="20">
        <f>IFERROR($D$220+DCF!$D$51,"n/a")</f>
      </c>
    </row>
    <row r="222" spans="2:4" x14ac:dyDescent="0.25">
      <c r="B222" s="9" t="s">
        <v>1144</v>
      </c>
      <c r="C222" s="2" t="s">
        <v>14</v>
      </c>
      <c r="D222" s="40">
        <f>IFERROR($D$221/Inputs!$D$15,"n/a")</f>
      </c>
    </row>
    <row r="224" spans="2:5" x14ac:dyDescent="0.25">
      <c r="B224" s="2" t="s">
        <v>1145</v>
      </c>
      <c r="C224" s="2" t="s">
        <v>326</v>
      </c>
      <c r="D224" s="15">
        <f>Inputs!$E$237*Inputs!$D$233</f>
      </c>
      <c r="E224" s="15">
        <f>Inputs!$D$237*Inputs!$D$234</f>
      </c>
    </row>
    <row r="225" spans="2:10" x14ac:dyDescent="0.25">
      <c r="B225" s="9" t="s">
        <v>1146</v>
      </c>
      <c r="C225" s="2" t="s">
        <v>14</v>
      </c>
      <c r="D225" s="35">
        <f>Inputs!$E$23</f>
      </c>
      <c r="E225" s="35">
        <f>$D$225*(1+(Inputs!$D$182+$D$224))</f>
      </c>
      <c r="F225" s="35">
        <f>$E$225*(1+(Inputs!$E$182+$D$224))</f>
      </c>
      <c r="G225" s="35">
        <f>$F$225*(1+(Inputs!$F$182+$D$224))</f>
      </c>
      <c r="H225" s="35">
        <f>$G$225*(1+(Inputs!$G$182+$D$224))</f>
      </c>
      <c r="I225" s="35">
        <f>$H$225*(1+(Inputs!$H$182+$D$224))</f>
      </c>
      <c r="J225" s="35">
        <f>$I$225*(1+Inputs!$D$172)</f>
      </c>
    </row>
    <row r="226" spans="2:10" x14ac:dyDescent="0.25">
      <c r="B226" s="2" t="s">
        <v>1147</v>
      </c>
      <c r="C226" s="2" t="s">
        <v>14</v>
      </c>
      <c r="D226" s="20">
        <f>$D$225*((Inputs!$E$26+Inputs!$E$51+Inputs!$E$52)/$D$225)</f>
      </c>
      <c r="E226" s="20">
        <f>$E$225*(Inputs!$D$183+$E$224)</f>
      </c>
      <c r="F226" s="20">
        <f>$F$225*(Inputs!$E$183+$E$224)</f>
      </c>
      <c r="G226" s="20">
        <f>$G$225*(Inputs!$F$183+$E$224)</f>
      </c>
      <c r="H226" s="20">
        <f>$H$225*(Inputs!$G$183+$E$224)</f>
      </c>
      <c r="I226" s="20">
        <f>$I$225*(Inputs!$H$183+$E$224)</f>
      </c>
      <c r="J226" s="20">
        <f>$J$225*(Inputs!$I$183+$E$224)</f>
      </c>
    </row>
    <row r="227" spans="2:10" x14ac:dyDescent="0.25">
      <c r="B227" s="2" t="s">
        <v>1148</v>
      </c>
      <c r="C227" s="2" t="s">
        <v>14</v>
      </c>
      <c r="D227" s="20">
        <f>-(Inputs!$E$29+Inputs!$E$30)</f>
      </c>
      <c r="E227" s="20">
        <f>$E$225*Inputs!$D$184</f>
      </c>
      <c r="F227" s="20">
        <f>$F$225*Inputs!$E$184</f>
      </c>
      <c r="G227" s="20">
        <f>$G$225*Inputs!$F$184</f>
      </c>
      <c r="H227" s="20">
        <f>$H$225*Inputs!$G$184</f>
      </c>
      <c r="I227" s="20">
        <f>$I$225*Inputs!$H$184</f>
      </c>
      <c r="J227" s="20">
        <f>$J$225*Inputs!$I$184</f>
      </c>
    </row>
    <row r="228" spans="2:10" x14ac:dyDescent="0.25">
      <c r="B228" s="2" t="s">
        <v>1149</v>
      </c>
      <c r="C228" s="2" t="s">
        <v>14</v>
      </c>
      <c r="D228" s="20">
        <f>Normalization!$D$13-Inputs!$E$26-Inputs!$E$29-Inputs!$E$30</f>
      </c>
      <c r="E228" s="20">
        <f>$E$225*Inputs!$D$185</f>
      </c>
      <c r="F228" s="20">
        <f>$F$225*Inputs!$E$185</f>
      </c>
      <c r="G228" s="20">
        <f>$G$225*Inputs!$F$185</f>
      </c>
      <c r="H228" s="20">
        <f>$H$225*Inputs!$G$185</f>
      </c>
      <c r="I228" s="20">
        <f>$I$225*Inputs!$H$185</f>
      </c>
      <c r="J228" s="20">
        <f>$J$225*Inputs!$I$185</f>
      </c>
    </row>
    <row r="229" spans="2:10" x14ac:dyDescent="0.25">
      <c r="B229" s="9" t="s">
        <v>1150</v>
      </c>
      <c r="C229" s="2" t="s">
        <v>14</v>
      </c>
      <c r="D229" s="34">
        <f>$D$226-$D$227+$D$228</f>
      </c>
      <c r="E229" s="34">
        <f>$E$226-$E$227+$E$228</f>
      </c>
      <c r="F229" s="34">
        <f>$F$226-$F$227+$F$228</f>
      </c>
      <c r="G229" s="34">
        <f>$G$226-$G$227+$G$228</f>
      </c>
      <c r="H229" s="34">
        <f>$H$226-$H$227+$H$228</f>
      </c>
      <c r="I229" s="34">
        <f>$I$226-$I$227+$I$228</f>
      </c>
      <c r="J229" s="34">
        <f>$J$226-$J$227+$J$228</f>
      </c>
    </row>
    <row r="230" spans="2:10" x14ac:dyDescent="0.25">
      <c r="B230" s="2" t="s">
        <v>1151</v>
      </c>
      <c r="C230" s="2" t="s">
        <v>14</v>
      </c>
      <c r="E230" s="20">
        <f>Inputs!$E$57</f>
      </c>
      <c r="F230" s="20">
        <f>$E$235</f>
      </c>
      <c r="G230" s="20">
        <f>$F$235</f>
      </c>
      <c r="H230" s="20">
        <f>$G$235</f>
      </c>
      <c r="I230" s="20">
        <f>$H$235</f>
      </c>
      <c r="J230" s="20">
        <f>$I$235</f>
      </c>
    </row>
    <row r="231" spans="2:10" x14ac:dyDescent="0.25">
      <c r="B231" s="2" t="s">
        <v>1152</v>
      </c>
      <c r="C231" s="2" t="s">
        <v>14</v>
      </c>
      <c r="D231" s="20">
        <f>Inputs!$E$51</f>
      </c>
      <c r="E231" s="20">
        <f>IF(Inputs!$D$180="ppe_rollforward",Inputs!$D$187*$E$230,$E$225*Inputs!$D$186)</f>
      </c>
      <c r="F231" s="20">
        <f>IF(Inputs!$D$180="ppe_rollforward",Inputs!$E$187*$F$230,$F$225*Inputs!$E$186)</f>
      </c>
      <c r="G231" s="20">
        <f>IF(Inputs!$D$180="ppe_rollforward",Inputs!$F$187*$G$230,$G$225*Inputs!$F$186)</f>
      </c>
      <c r="H231" s="20">
        <f>IF(Inputs!$D$180="ppe_rollforward",Inputs!$G$187*$H$230,$H$225*Inputs!$G$186)</f>
      </c>
      <c r="I231" s="20">
        <f>IF(Inputs!$D$180="ppe_rollforward",Inputs!$H$187*$I$230,$I$225*Inputs!$H$186)</f>
      </c>
      <c r="J231" s="20">
        <f>IF(Inputs!$D$180="ppe_rollforward",Inputs!$I$187*$J$230,$J$225*Inputs!$I$186)</f>
      </c>
    </row>
    <row r="232" spans="2:10" x14ac:dyDescent="0.25">
      <c r="B232" s="2" t="s">
        <v>1153</v>
      </c>
      <c r="C232" s="2" t="s">
        <v>14</v>
      </c>
      <c r="D232" s="20">
        <f>Inputs!$E$52</f>
      </c>
      <c r="E232" s="20">
        <f>IF(Inputs!$D$180="ppe_rollforward",$E$225*Inputs!$D$188,0)</f>
      </c>
      <c r="F232" s="20">
        <f>IF(Inputs!$D$180="ppe_rollforward",$F$225*Inputs!$E$188,0)</f>
      </c>
      <c r="G232" s="20">
        <f>IF(Inputs!$D$180="ppe_rollforward",$G$225*Inputs!$F$188,0)</f>
      </c>
      <c r="H232" s="20">
        <f>IF(Inputs!$D$180="ppe_rollforward",$H$225*Inputs!$G$188,0)</f>
      </c>
      <c r="I232" s="20">
        <f>IF(Inputs!$D$180="ppe_rollforward",$I$225*Inputs!$H$188,0)</f>
      </c>
      <c r="J232" s="20">
        <f>IF(Inputs!$D$180="ppe_rollforward",$J$225*Inputs!$I$188,0)</f>
      </c>
    </row>
    <row r="233" spans="2:10" x14ac:dyDescent="0.25">
      <c r="B233" s="2" t="s">
        <v>1154</v>
      </c>
      <c r="C233" s="2" t="s">
        <v>14</v>
      </c>
      <c r="D233" s="20">
        <f>$D$231+$D$232</f>
      </c>
      <c r="E233" s="20">
        <f>$E$231+$E$232</f>
      </c>
      <c r="F233" s="20">
        <f>$F$231+$F$232</f>
      </c>
      <c r="G233" s="20">
        <f>$G$231+$G$232</f>
      </c>
      <c r="H233" s="20">
        <f>$H$231+$H$232</f>
      </c>
      <c r="I233" s="20">
        <f>$I$231+$I$232</f>
      </c>
      <c r="J233" s="20">
        <f>$J$231+$J$232</f>
      </c>
    </row>
    <row r="234" spans="2:10" x14ac:dyDescent="0.25">
      <c r="B234" s="2" t="s">
        <v>1155</v>
      </c>
      <c r="C234" s="2" t="s">
        <v>14</v>
      </c>
      <c r="D234" s="20">
        <f>-Inputs!$E$111</f>
      </c>
      <c r="E234" s="20">
        <f>IF(Inputs!$D$181="absolute",Inputs!$D$190,$E$225*Inputs!$D$189)</f>
      </c>
      <c r="F234" s="20">
        <f>IF(Inputs!$D$181="absolute",Inputs!$E$190,$F$225*Inputs!$E$189)</f>
      </c>
      <c r="G234" s="20">
        <f>IF(Inputs!$D$181="absolute",Inputs!$F$190,$G$225*Inputs!$F$189)</f>
      </c>
      <c r="H234" s="20">
        <f>IF(Inputs!$D$181="absolute",Inputs!$G$190,$H$225*Inputs!$G$189)</f>
      </c>
      <c r="I234" s="20">
        <f>IF(Inputs!$D$181="absolute",Inputs!$H$190,$I$225*Inputs!$H$189)</f>
      </c>
      <c r="J234" s="20">
        <f>$J$225*Inputs!$I$189</f>
      </c>
    </row>
    <row r="235" spans="2:10" x14ac:dyDescent="0.25">
      <c r="B235" s="2" t="s">
        <v>1156</v>
      </c>
      <c r="C235" s="2" t="s">
        <v>14</v>
      </c>
      <c r="D235" s="20">
        <f>Inputs!$E$57</f>
      </c>
      <c r="E235" s="20">
        <f>$E$230+$E$234-$E$231</f>
      </c>
      <c r="F235" s="20">
        <f>$F$230+$F$234-$F$231</f>
      </c>
      <c r="G235" s="20">
        <f>$G$230+$G$234-$G$231</f>
      </c>
      <c r="H235" s="20">
        <f>$H$230+$H$234-$H$231</f>
      </c>
      <c r="I235" s="20">
        <f>$I$230+$I$234-$I$231</f>
      </c>
      <c r="J235" s="20">
        <f>$J$230+$J$234-$J$231</f>
      </c>
    </row>
    <row r="236" spans="2:10" x14ac:dyDescent="0.25">
      <c r="B236" s="9" t="s">
        <v>1157</v>
      </c>
      <c r="C236" s="2" t="s">
        <v>14</v>
      </c>
      <c r="D236" s="35">
        <f>$D$229-$D$233</f>
      </c>
      <c r="E236" s="35">
        <f>$E$229-$E$233</f>
      </c>
      <c r="F236" s="35">
        <f>$F$229-$F$233</f>
      </c>
      <c r="G236" s="35">
        <f>$G$229-$G$233</f>
      </c>
      <c r="H236" s="35">
        <f>$H$229-$H$233</f>
      </c>
      <c r="I236" s="35">
        <f>$I$229-$I$233</f>
      </c>
      <c r="J236" s="35">
        <f>$J$229-$J$233</f>
      </c>
    </row>
    <row r="237" spans="2:10" x14ac:dyDescent="0.25">
      <c r="B237" s="2" t="s">
        <v>1158</v>
      </c>
      <c r="C237" s="2" t="s">
        <v>54</v>
      </c>
      <c r="D237" s="11">
        <f>Inputs!$D$133</f>
      </c>
      <c r="E237" s="11">
        <f>Inputs!$D$196</f>
      </c>
      <c r="F237" s="11">
        <f>Inputs!$E$196</f>
      </c>
      <c r="G237" s="11">
        <f>Inputs!$F$196</f>
      </c>
      <c r="H237" s="11">
        <f>Inputs!$G$196</f>
      </c>
      <c r="I237" s="11">
        <f>Inputs!$H$196</f>
      </c>
      <c r="J237" s="11">
        <f>Inputs!$I$196</f>
      </c>
    </row>
    <row r="238" spans="2:10" x14ac:dyDescent="0.25">
      <c r="B238" s="2" t="s">
        <v>1159</v>
      </c>
      <c r="C238" s="2" t="s">
        <v>14</v>
      </c>
      <c r="D238" s="20">
        <f>$D$236*$D$237</f>
      </c>
      <c r="E238" s="20">
        <f>$E$236*$E$237</f>
      </c>
      <c r="F238" s="20">
        <f>$F$236*$F$237</f>
      </c>
      <c r="G238" s="20">
        <f>$G$236*$G$237</f>
      </c>
      <c r="H238" s="20">
        <f>$H$236*$H$237</f>
      </c>
      <c r="I238" s="20">
        <f>$I$236*$I$237</f>
      </c>
      <c r="J238" s="20">
        <f>$J$236*$J$237</f>
      </c>
    </row>
    <row r="239" spans="2:10" x14ac:dyDescent="0.25">
      <c r="B239" s="2" t="s">
        <v>1160</v>
      </c>
      <c r="C239" s="2" t="s">
        <v>14</v>
      </c>
      <c r="D239" s="33">
        <f>$D$236-$D$238</f>
      </c>
      <c r="E239" s="33">
        <f>$E$236-$E$238</f>
      </c>
      <c r="F239" s="33">
        <f>$F$236-$F$238</f>
      </c>
      <c r="G239" s="33">
        <f>$G$236-$G$238</f>
      </c>
      <c r="H239" s="33">
        <f>$H$236-$H$238</f>
      </c>
      <c r="I239" s="33">
        <f>$I$236-$I$238</f>
      </c>
      <c r="J239" s="33">
        <f>$J$236-$J$238</f>
      </c>
    </row>
    <row r="240" spans="2:10" x14ac:dyDescent="0.25">
      <c r="B240" s="2" t="s">
        <v>1161</v>
      </c>
      <c r="C240" s="2" t="s">
        <v>14</v>
      </c>
      <c r="D240" s="20">
        <f>$D$225*(1-((Inputs!$E$26+Inputs!$E$51+Inputs!$E$52)/$D$225))</f>
      </c>
      <c r="E240" s="20">
        <f>$E$225*(1-(Inputs!$D$183+$E$224))</f>
      </c>
      <c r="F240" s="20">
        <f>$F$225*(1-(Inputs!$E$183+$E$224))</f>
      </c>
      <c r="G240" s="20">
        <f>$G$225*(1-(Inputs!$F$183+$E$224))</f>
      </c>
      <c r="H240" s="20">
        <f>$H$225*(1-(Inputs!$G$183+$E$224))</f>
      </c>
      <c r="I240" s="20">
        <f>$I$225*(1-(Inputs!$H$183+$E$224))</f>
      </c>
      <c r="J240" s="20">
        <f>$J$225*(1-(Inputs!$I$183+$E$224))</f>
      </c>
    </row>
    <row r="241" spans="2:10" x14ac:dyDescent="0.25">
      <c r="B241" s="2" t="s">
        <v>1162</v>
      </c>
      <c r="C241" s="2" t="s">
        <v>14</v>
      </c>
      <c r="D241" s="20">
        <f>Inputs!$E$67</f>
      </c>
      <c r="E241" s="20">
        <f>$E$225*Inputs!$D$191/Inputs!$D$18</f>
      </c>
      <c r="F241" s="20">
        <f>$F$225*Inputs!$E$191/Inputs!$D$18</f>
      </c>
      <c r="G241" s="20">
        <f>$G$225*Inputs!$F$191/Inputs!$D$18</f>
      </c>
      <c r="H241" s="20">
        <f>$H$225*Inputs!$G$191/Inputs!$D$18</f>
      </c>
      <c r="I241" s="20">
        <f>$I$225*Inputs!$H$191/Inputs!$D$18</f>
      </c>
      <c r="J241" s="20">
        <f>$J$225*Inputs!$I$191/Inputs!$D$18</f>
      </c>
    </row>
    <row r="242" spans="2:10" x14ac:dyDescent="0.25">
      <c r="B242" s="2" t="s">
        <v>1163</v>
      </c>
      <c r="C242" s="2" t="s">
        <v>14</v>
      </c>
      <c r="D242" s="20">
        <f>Inputs!$E$66</f>
      </c>
      <c r="E242" s="20">
        <f>$E$240*Inputs!$D$192/Inputs!$D$18</f>
      </c>
      <c r="F242" s="20">
        <f>$F$240*Inputs!$E$192/Inputs!$D$18</f>
      </c>
      <c r="G242" s="20">
        <f>$G$240*Inputs!$F$192/Inputs!$D$18</f>
      </c>
      <c r="H242" s="20">
        <f>$H$240*Inputs!$G$192/Inputs!$D$18</f>
      </c>
      <c r="I242" s="20">
        <f>$I$240*Inputs!$H$192/Inputs!$D$18</f>
      </c>
      <c r="J242" s="20">
        <f>$J$240*Inputs!$I$192/Inputs!$D$18</f>
      </c>
    </row>
    <row r="243" spans="2:10" x14ac:dyDescent="0.25">
      <c r="B243" s="2" t="s">
        <v>1164</v>
      </c>
      <c r="C243" s="2" t="s">
        <v>14</v>
      </c>
      <c r="D243" s="20">
        <f>Inputs!$E$93</f>
      </c>
      <c r="E243" s="20">
        <f>$E$240*Inputs!$D$193/Inputs!$D$18</f>
      </c>
      <c r="F243" s="20">
        <f>$F$240*Inputs!$E$193/Inputs!$D$18</f>
      </c>
      <c r="G243" s="20">
        <f>$G$240*Inputs!$F$193/Inputs!$D$18</f>
      </c>
      <c r="H243" s="20">
        <f>$H$240*Inputs!$G$193/Inputs!$D$18</f>
      </c>
      <c r="I243" s="20">
        <f>$I$240*Inputs!$H$193/Inputs!$D$18</f>
      </c>
      <c r="J243" s="20">
        <f>$J$240*Inputs!$I$193/Inputs!$D$18</f>
      </c>
    </row>
    <row r="244" spans="2:10" x14ac:dyDescent="0.25">
      <c r="B244" s="2" t="s">
        <v>1165</v>
      </c>
      <c r="C244" s="2" t="s">
        <v>14</v>
      </c>
      <c r="D244" s="20">
        <f>Inputs!$E$70+Inputs!$E$72+Inputs!$E$71</f>
      </c>
      <c r="E244" s="20">
        <f>$E$225*Inputs!$D$194</f>
      </c>
      <c r="F244" s="20">
        <f>$F$225*Inputs!$E$194</f>
      </c>
      <c r="G244" s="20">
        <f>$G$225*Inputs!$F$194</f>
      </c>
      <c r="H244" s="20">
        <f>$H$225*Inputs!$G$194</f>
      </c>
      <c r="I244" s="20">
        <f>$I$225*Inputs!$H$194</f>
      </c>
      <c r="J244" s="20">
        <f>$J$225*Inputs!$I$194</f>
      </c>
    </row>
    <row r="245" spans="2:10" x14ac:dyDescent="0.25">
      <c r="B245" s="2" t="s">
        <v>1166</v>
      </c>
      <c r="C245" s="2" t="s">
        <v>14</v>
      </c>
      <c r="D245" s="20">
        <f>Inputs!$E$94+Inputs!$E$95+Inputs!$E$97+Inputs!$E$98+Inputs!$E$99</f>
      </c>
      <c r="E245" s="20">
        <f>$E$225*Inputs!$D$195</f>
      </c>
      <c r="F245" s="20">
        <f>$F$225*Inputs!$E$195</f>
      </c>
      <c r="G245" s="20">
        <f>$G$225*Inputs!$F$195</f>
      </c>
      <c r="H245" s="20">
        <f>$H$225*Inputs!$G$195</f>
      </c>
      <c r="I245" s="20">
        <f>$I$225*Inputs!$H$195</f>
      </c>
      <c r="J245" s="20">
        <f>$J$225*Inputs!$I$195</f>
      </c>
    </row>
    <row r="246" spans="2:10" x14ac:dyDescent="0.25">
      <c r="B246" s="2" t="s">
        <v>1167</v>
      </c>
      <c r="C246" s="2" t="s">
        <v>14</v>
      </c>
      <c r="D246" s="33">
        <f>$D$241+$D$242+$D$244-$D$243-$D$245</f>
      </c>
      <c r="E246" s="33">
        <f>$E$241+$E$242+$E$244-$E$243-$E$245</f>
      </c>
      <c r="F246" s="33">
        <f>$F$241+$F$242+$F$244-$F$243-$F$245</f>
      </c>
      <c r="G246" s="33">
        <f>$G$241+$G$242+$G$244-$G$243-$G$245</f>
      </c>
      <c r="H246" s="33">
        <f>$H$241+$H$242+$H$244-$H$243-$H$245</f>
      </c>
      <c r="I246" s="33">
        <f>$I$241+$I$242+$I$244-$I$243-$I$245</f>
      </c>
      <c r="J246" s="33">
        <f>$J$241+$J$242+$J$244-$J$243-$J$245</f>
      </c>
    </row>
    <row r="247" spans="2:10" x14ac:dyDescent="0.25">
      <c r="B247" s="2" t="s">
        <v>1168</v>
      </c>
      <c r="C247" s="2" t="s">
        <v>14</v>
      </c>
      <c r="E247" s="20">
        <f>$E$246-$D$246</f>
      </c>
      <c r="F247" s="20">
        <f>$F$246-$E$246</f>
      </c>
      <c r="G247" s="20">
        <f>$G$246-$F$246</f>
      </c>
      <c r="H247" s="20">
        <f>$H$246-$G$246</f>
      </c>
      <c r="I247" s="20">
        <f>$I$246-$H$246</f>
      </c>
      <c r="J247" s="20">
        <f>$J$246-$I$246</f>
      </c>
    </row>
    <row r="248" spans="2:10" x14ac:dyDescent="0.25">
      <c r="B248" s="2" t="s">
        <v>1169</v>
      </c>
      <c r="C248" s="2" t="s">
        <v>14</v>
      </c>
      <c r="D248" s="20">
        <f>Inputs!$E$49</f>
      </c>
      <c r="E248" s="20">
        <f>$E$239+Inputs!$D$202*(1-$E$237)</f>
      </c>
      <c r="F248" s="20">
        <f>$F$239+Inputs!$D$202*(1-$F$237)</f>
      </c>
      <c r="G248" s="20">
        <f>$G$239+Inputs!$D$202*(1-$G$237)</f>
      </c>
      <c r="H248" s="20">
        <f>$H$239+Inputs!$D$202*(1-$H$237)</f>
      </c>
      <c r="I248" s="20">
        <f>$I$239+Inputs!$D$202*(1-$I$237)</f>
      </c>
      <c r="J248" s="20">
        <f>$J$239+Inputs!$D$202*(1-$J$237)</f>
      </c>
    </row>
    <row r="249" spans="2:10" x14ac:dyDescent="0.25">
      <c r="B249" s="2" t="s">
        <v>1170</v>
      </c>
      <c r="C249" s="2" t="s">
        <v>14</v>
      </c>
      <c r="E249" s="20">
        <f>IF(Inputs!$D$200=1,Inputs!$D$201*$D$248,0)</f>
      </c>
      <c r="F249" s="20">
        <f>IF(Inputs!$D$200=1,Inputs!$D$201*$E$248,0)</f>
      </c>
      <c r="G249" s="20">
        <f>IF(Inputs!$D$200=1,Inputs!$D$201*$F$248,0)</f>
      </c>
      <c r="H249" s="20">
        <f>IF(Inputs!$D$200=1,Inputs!$D$201*$G$248,0)</f>
      </c>
      <c r="I249" s="20">
        <f>IF(Inputs!$D$200=1,Inputs!$D$201*$H$248,0)</f>
      </c>
      <c r="J249" s="20">
        <f>IF(Inputs!$D$200=1,Inputs!$D$201*$I$248,0)</f>
      </c>
    </row>
    <row r="250" spans="2:10" x14ac:dyDescent="0.25">
      <c r="B250" s="9" t="s">
        <v>1171</v>
      </c>
      <c r="C250" s="2" t="s">
        <v>14</v>
      </c>
      <c r="E250" s="34">
        <f>$E$239+$E$233-$E$234-$E$247-$E$249</f>
      </c>
      <c r="F250" s="34">
        <f>$F$239+$F$233-$F$234-$F$247-$F$249</f>
      </c>
      <c r="G250" s="34">
        <f>$G$239+$G$233-$G$234-$G$247-$G$249</f>
      </c>
      <c r="H250" s="34">
        <f>$H$239+$H$233-$H$234-$H$247-$H$249</f>
      </c>
      <c r="I250" s="34">
        <f>$I$239+$I$233-$I$234-$I$247-$I$249</f>
      </c>
      <c r="J250" s="34">
        <f>$J$239+$J$233-$J$234-$J$247-$J$249</f>
      </c>
    </row>
    <row r="251" spans="2:9" x14ac:dyDescent="0.25">
      <c r="B251" s="2" t="s">
        <v>1172</v>
      </c>
      <c r="C251" s="2" t="s">
        <v>14</v>
      </c>
      <c r="E251" s="20">
        <f>$E$250*DCF!$D$10*(1+WACC!$D$54)^(-DCF!$D$12)</f>
      </c>
      <c r="F251" s="20">
        <f>$F$250*DCF!$E$10*(1+WACC!$D$54)^(-DCF!$E$12)</f>
      </c>
      <c r="G251" s="20">
        <f>$G$250*DCF!$F$10*(1+WACC!$D$54)^(-DCF!$F$12)</f>
      </c>
      <c r="H251" s="20">
        <f>$H$250*DCF!$G$10*(1+WACC!$D$54)^(-DCF!$G$12)</f>
      </c>
      <c r="I251" s="20">
        <f>$I$250*DCF!$H$10*(1+WACC!$D$54)^(-DCF!$H$12)</f>
      </c>
    </row>
    <row r="252" spans="2:4" x14ac:dyDescent="0.25">
      <c r="B252" s="2" t="s">
        <v>1173</v>
      </c>
      <c r="C252" s="2" t="s">
        <v>14</v>
      </c>
      <c r="D252" s="20">
        <f>SUM($E$251:$I$251)</f>
      </c>
    </row>
    <row r="253" spans="2:4" x14ac:dyDescent="0.25">
      <c r="B253" s="2" t="s">
        <v>1174</v>
      </c>
      <c r="C253" s="2" t="s">
        <v>14</v>
      </c>
      <c r="D253" s="20">
        <f>IF(Inputs!$D$171="gordon",IF(Inputs!$D$172&lt;WACC!$D$54,$J$250/(WACC!$D$54-Inputs!$D$172),"n/a"),$I$229*Inputs!$D$173)</f>
      </c>
    </row>
    <row r="254" spans="2:4" x14ac:dyDescent="0.25">
      <c r="B254" s="2" t="s">
        <v>1175</v>
      </c>
      <c r="C254" s="2" t="s">
        <v>14</v>
      </c>
      <c r="D254" s="33">
        <f>IFERROR($D$252+$D$253*(1+WACC!$D$54)^(-DCF!$D$21),"n/a")</f>
      </c>
    </row>
    <row r="255" spans="2:4" x14ac:dyDescent="0.25">
      <c r="B255" s="2" t="s">
        <v>1176</v>
      </c>
      <c r="C255" s="2" t="s">
        <v>14</v>
      </c>
      <c r="D255" s="20">
        <f>IFERROR($D$254+DCF!$D$51,"n/a")</f>
      </c>
    </row>
    <row r="256" spans="2:4" x14ac:dyDescent="0.25">
      <c r="B256" s="9" t="s">
        <v>1177</v>
      </c>
      <c r="C256" s="2" t="s">
        <v>14</v>
      </c>
      <c r="D256" s="40">
        <f>IFERROR($D$255/Inputs!$D$15,"n/a")</f>
      </c>
    </row>
    <row r="258" spans="2:5" x14ac:dyDescent="0.25">
      <c r="B258" s="2" t="s">
        <v>1178</v>
      </c>
      <c r="C258" s="2" t="s">
        <v>326</v>
      </c>
      <c r="D258" s="15">
        <f>Inputs!$E$237*Inputs!$D$233</f>
      </c>
      <c r="E258" s="15">
        <f>Inputs!$E$237*Inputs!$D$234</f>
      </c>
    </row>
    <row r="259" spans="2:10" x14ac:dyDescent="0.25">
      <c r="B259" s="9" t="s">
        <v>1179</v>
      </c>
      <c r="C259" s="2" t="s">
        <v>14</v>
      </c>
      <c r="D259" s="35">
        <f>Inputs!$E$23</f>
      </c>
      <c r="E259" s="35">
        <f>$D$259*(1+(Inputs!$D$182+$D$258))</f>
      </c>
      <c r="F259" s="35">
        <f>$E$259*(1+(Inputs!$E$182+$D$258))</f>
      </c>
      <c r="G259" s="35">
        <f>$F$259*(1+(Inputs!$F$182+$D$258))</f>
      </c>
      <c r="H259" s="35">
        <f>$G$259*(1+(Inputs!$G$182+$D$258))</f>
      </c>
      <c r="I259" s="35">
        <f>$H$259*(1+(Inputs!$H$182+$D$258))</f>
      </c>
      <c r="J259" s="35">
        <f>$I$259*(1+Inputs!$D$172)</f>
      </c>
    </row>
    <row r="260" spans="2:10" x14ac:dyDescent="0.25">
      <c r="B260" s="2" t="s">
        <v>1180</v>
      </c>
      <c r="C260" s="2" t="s">
        <v>14</v>
      </c>
      <c r="D260" s="20">
        <f>$D$259*((Inputs!$E$26+Inputs!$E$51+Inputs!$E$52)/$D$259)</f>
      </c>
      <c r="E260" s="20">
        <f>$E$259*(Inputs!$D$183+$E$258)</f>
      </c>
      <c r="F260" s="20">
        <f>$F$259*(Inputs!$E$183+$E$258)</f>
      </c>
      <c r="G260" s="20">
        <f>$G$259*(Inputs!$F$183+$E$258)</f>
      </c>
      <c r="H260" s="20">
        <f>$H$259*(Inputs!$G$183+$E$258)</f>
      </c>
      <c r="I260" s="20">
        <f>$I$259*(Inputs!$H$183+$E$258)</f>
      </c>
      <c r="J260" s="20">
        <f>$J$259*(Inputs!$I$183+$E$258)</f>
      </c>
    </row>
    <row r="261" spans="2:10" x14ac:dyDescent="0.25">
      <c r="B261" s="2" t="s">
        <v>1181</v>
      </c>
      <c r="C261" s="2" t="s">
        <v>14</v>
      </c>
      <c r="D261" s="20">
        <f>-(Inputs!$E$29+Inputs!$E$30)</f>
      </c>
      <c r="E261" s="20">
        <f>$E$259*Inputs!$D$184</f>
      </c>
      <c r="F261" s="20">
        <f>$F$259*Inputs!$E$184</f>
      </c>
      <c r="G261" s="20">
        <f>$G$259*Inputs!$F$184</f>
      </c>
      <c r="H261" s="20">
        <f>$H$259*Inputs!$G$184</f>
      </c>
      <c r="I261" s="20">
        <f>$I$259*Inputs!$H$184</f>
      </c>
      <c r="J261" s="20">
        <f>$J$259*Inputs!$I$184</f>
      </c>
    </row>
    <row r="262" spans="2:10" x14ac:dyDescent="0.25">
      <c r="B262" s="2" t="s">
        <v>1182</v>
      </c>
      <c r="C262" s="2" t="s">
        <v>14</v>
      </c>
      <c r="D262" s="20">
        <f>Normalization!$D$13-Inputs!$E$26-Inputs!$E$29-Inputs!$E$30</f>
      </c>
      <c r="E262" s="20">
        <f>$E$259*Inputs!$D$185</f>
      </c>
      <c r="F262" s="20">
        <f>$F$259*Inputs!$E$185</f>
      </c>
      <c r="G262" s="20">
        <f>$G$259*Inputs!$F$185</f>
      </c>
      <c r="H262" s="20">
        <f>$H$259*Inputs!$G$185</f>
      </c>
      <c r="I262" s="20">
        <f>$I$259*Inputs!$H$185</f>
      </c>
      <c r="J262" s="20">
        <f>$J$259*Inputs!$I$185</f>
      </c>
    </row>
    <row r="263" spans="2:10" x14ac:dyDescent="0.25">
      <c r="B263" s="9" t="s">
        <v>1183</v>
      </c>
      <c r="C263" s="2" t="s">
        <v>14</v>
      </c>
      <c r="D263" s="34">
        <f>$D$260-$D$261+$D$262</f>
      </c>
      <c r="E263" s="34">
        <f>$E$260-$E$261+$E$262</f>
      </c>
      <c r="F263" s="34">
        <f>$F$260-$F$261+$F$262</f>
      </c>
      <c r="G263" s="34">
        <f>$G$260-$G$261+$G$262</f>
      </c>
      <c r="H263" s="34">
        <f>$H$260-$H$261+$H$262</f>
      </c>
      <c r="I263" s="34">
        <f>$I$260-$I$261+$I$262</f>
      </c>
      <c r="J263" s="34">
        <f>$J$260-$J$261+$J$262</f>
      </c>
    </row>
    <row r="264" spans="2:10" x14ac:dyDescent="0.25">
      <c r="B264" s="2" t="s">
        <v>1184</v>
      </c>
      <c r="C264" s="2" t="s">
        <v>14</v>
      </c>
      <c r="E264" s="20">
        <f>Inputs!$E$57</f>
      </c>
      <c r="F264" s="20">
        <f>$E$269</f>
      </c>
      <c r="G264" s="20">
        <f>$F$269</f>
      </c>
      <c r="H264" s="20">
        <f>$G$269</f>
      </c>
      <c r="I264" s="20">
        <f>$H$269</f>
      </c>
      <c r="J264" s="20">
        <f>$I$269</f>
      </c>
    </row>
    <row r="265" spans="2:10" x14ac:dyDescent="0.25">
      <c r="B265" s="2" t="s">
        <v>1185</v>
      </c>
      <c r="C265" s="2" t="s">
        <v>14</v>
      </c>
      <c r="D265" s="20">
        <f>Inputs!$E$51</f>
      </c>
      <c r="E265" s="20">
        <f>IF(Inputs!$D$180="ppe_rollforward",Inputs!$D$187*$E$264,$E$259*Inputs!$D$186)</f>
      </c>
      <c r="F265" s="20">
        <f>IF(Inputs!$D$180="ppe_rollforward",Inputs!$E$187*$F$264,$F$259*Inputs!$E$186)</f>
      </c>
      <c r="G265" s="20">
        <f>IF(Inputs!$D$180="ppe_rollforward",Inputs!$F$187*$G$264,$G$259*Inputs!$F$186)</f>
      </c>
      <c r="H265" s="20">
        <f>IF(Inputs!$D$180="ppe_rollforward",Inputs!$G$187*$H$264,$H$259*Inputs!$G$186)</f>
      </c>
      <c r="I265" s="20">
        <f>IF(Inputs!$D$180="ppe_rollforward",Inputs!$H$187*$I$264,$I$259*Inputs!$H$186)</f>
      </c>
      <c r="J265" s="20">
        <f>IF(Inputs!$D$180="ppe_rollforward",Inputs!$I$187*$J$264,$J$259*Inputs!$I$186)</f>
      </c>
    </row>
    <row r="266" spans="2:10" x14ac:dyDescent="0.25">
      <c r="B266" s="2" t="s">
        <v>1186</v>
      </c>
      <c r="C266" s="2" t="s">
        <v>14</v>
      </c>
      <c r="D266" s="20">
        <f>Inputs!$E$52</f>
      </c>
      <c r="E266" s="20">
        <f>IF(Inputs!$D$180="ppe_rollforward",$E$259*Inputs!$D$188,0)</f>
      </c>
      <c r="F266" s="20">
        <f>IF(Inputs!$D$180="ppe_rollforward",$F$259*Inputs!$E$188,0)</f>
      </c>
      <c r="G266" s="20">
        <f>IF(Inputs!$D$180="ppe_rollforward",$G$259*Inputs!$F$188,0)</f>
      </c>
      <c r="H266" s="20">
        <f>IF(Inputs!$D$180="ppe_rollforward",$H$259*Inputs!$G$188,0)</f>
      </c>
      <c r="I266" s="20">
        <f>IF(Inputs!$D$180="ppe_rollforward",$I$259*Inputs!$H$188,0)</f>
      </c>
      <c r="J266" s="20">
        <f>IF(Inputs!$D$180="ppe_rollforward",$J$259*Inputs!$I$188,0)</f>
      </c>
    </row>
    <row r="267" spans="2:10" x14ac:dyDescent="0.25">
      <c r="B267" s="2" t="s">
        <v>1187</v>
      </c>
      <c r="C267" s="2" t="s">
        <v>14</v>
      </c>
      <c r="D267" s="20">
        <f>$D$265+$D$266</f>
      </c>
      <c r="E267" s="20">
        <f>$E$265+$E$266</f>
      </c>
      <c r="F267" s="20">
        <f>$F$265+$F$266</f>
      </c>
      <c r="G267" s="20">
        <f>$G$265+$G$266</f>
      </c>
      <c r="H267" s="20">
        <f>$H$265+$H$266</f>
      </c>
      <c r="I267" s="20">
        <f>$I$265+$I$266</f>
      </c>
      <c r="J267" s="20">
        <f>$J$265+$J$266</f>
      </c>
    </row>
    <row r="268" spans="2:10" x14ac:dyDescent="0.25">
      <c r="B268" s="2" t="s">
        <v>1188</v>
      </c>
      <c r="C268" s="2" t="s">
        <v>14</v>
      </c>
      <c r="D268" s="20">
        <f>-Inputs!$E$111</f>
      </c>
      <c r="E268" s="20">
        <f>IF(Inputs!$D$181="absolute",Inputs!$D$190,$E$259*Inputs!$D$189)</f>
      </c>
      <c r="F268" s="20">
        <f>IF(Inputs!$D$181="absolute",Inputs!$E$190,$F$259*Inputs!$E$189)</f>
      </c>
      <c r="G268" s="20">
        <f>IF(Inputs!$D$181="absolute",Inputs!$F$190,$G$259*Inputs!$F$189)</f>
      </c>
      <c r="H268" s="20">
        <f>IF(Inputs!$D$181="absolute",Inputs!$G$190,$H$259*Inputs!$G$189)</f>
      </c>
      <c r="I268" s="20">
        <f>IF(Inputs!$D$181="absolute",Inputs!$H$190,$I$259*Inputs!$H$189)</f>
      </c>
      <c r="J268" s="20">
        <f>$J$259*Inputs!$I$189</f>
      </c>
    </row>
    <row r="269" spans="2:10" x14ac:dyDescent="0.25">
      <c r="B269" s="2" t="s">
        <v>1189</v>
      </c>
      <c r="C269" s="2" t="s">
        <v>14</v>
      </c>
      <c r="D269" s="20">
        <f>Inputs!$E$57</f>
      </c>
      <c r="E269" s="20">
        <f>$E$264+$E$268-$E$265</f>
      </c>
      <c r="F269" s="20">
        <f>$F$264+$F$268-$F$265</f>
      </c>
      <c r="G269" s="20">
        <f>$G$264+$G$268-$G$265</f>
      </c>
      <c r="H269" s="20">
        <f>$H$264+$H$268-$H$265</f>
      </c>
      <c r="I269" s="20">
        <f>$I$264+$I$268-$I$265</f>
      </c>
      <c r="J269" s="20">
        <f>$J$264+$J$268-$J$265</f>
      </c>
    </row>
    <row r="270" spans="2:10" x14ac:dyDescent="0.25">
      <c r="B270" s="9" t="s">
        <v>1190</v>
      </c>
      <c r="C270" s="2" t="s">
        <v>14</v>
      </c>
      <c r="D270" s="35">
        <f>$D$263-$D$267</f>
      </c>
      <c r="E270" s="35">
        <f>$E$263-$E$267</f>
      </c>
      <c r="F270" s="35">
        <f>$F$263-$F$267</f>
      </c>
      <c r="G270" s="35">
        <f>$G$263-$G$267</f>
      </c>
      <c r="H270" s="35">
        <f>$H$263-$H$267</f>
      </c>
      <c r="I270" s="35">
        <f>$I$263-$I$267</f>
      </c>
      <c r="J270" s="35">
        <f>$J$263-$J$267</f>
      </c>
    </row>
    <row r="271" spans="2:10" x14ac:dyDescent="0.25">
      <c r="B271" s="2" t="s">
        <v>1191</v>
      </c>
      <c r="C271" s="2" t="s">
        <v>54</v>
      </c>
      <c r="D271" s="11">
        <f>Inputs!$D$133</f>
      </c>
      <c r="E271" s="11">
        <f>Inputs!$D$196</f>
      </c>
      <c r="F271" s="11">
        <f>Inputs!$E$196</f>
      </c>
      <c r="G271" s="11">
        <f>Inputs!$F$196</f>
      </c>
      <c r="H271" s="11">
        <f>Inputs!$G$196</f>
      </c>
      <c r="I271" s="11">
        <f>Inputs!$H$196</f>
      </c>
      <c r="J271" s="11">
        <f>Inputs!$I$196</f>
      </c>
    </row>
    <row r="272" spans="2:10" x14ac:dyDescent="0.25">
      <c r="B272" s="2" t="s">
        <v>1192</v>
      </c>
      <c r="C272" s="2" t="s">
        <v>14</v>
      </c>
      <c r="D272" s="20">
        <f>$D$270*$D$271</f>
      </c>
      <c r="E272" s="20">
        <f>$E$270*$E$271</f>
      </c>
      <c r="F272" s="20">
        <f>$F$270*$F$271</f>
      </c>
      <c r="G272" s="20">
        <f>$G$270*$G$271</f>
      </c>
      <c r="H272" s="20">
        <f>$H$270*$H$271</f>
      </c>
      <c r="I272" s="20">
        <f>$I$270*$I$271</f>
      </c>
      <c r="J272" s="20">
        <f>$J$270*$J$271</f>
      </c>
    </row>
    <row r="273" spans="2:10" x14ac:dyDescent="0.25">
      <c r="B273" s="2" t="s">
        <v>1193</v>
      </c>
      <c r="C273" s="2" t="s">
        <v>14</v>
      </c>
      <c r="D273" s="33">
        <f>$D$270-$D$272</f>
      </c>
      <c r="E273" s="33">
        <f>$E$270-$E$272</f>
      </c>
      <c r="F273" s="33">
        <f>$F$270-$F$272</f>
      </c>
      <c r="G273" s="33">
        <f>$G$270-$G$272</f>
      </c>
      <c r="H273" s="33">
        <f>$H$270-$H$272</f>
      </c>
      <c r="I273" s="33">
        <f>$I$270-$I$272</f>
      </c>
      <c r="J273" s="33">
        <f>$J$270-$J$272</f>
      </c>
    </row>
    <row r="274" spans="2:10" x14ac:dyDescent="0.25">
      <c r="B274" s="2" t="s">
        <v>1194</v>
      </c>
      <c r="C274" s="2" t="s">
        <v>14</v>
      </c>
      <c r="D274" s="20">
        <f>$D$259*(1-((Inputs!$E$26+Inputs!$E$51+Inputs!$E$52)/$D$259))</f>
      </c>
      <c r="E274" s="20">
        <f>$E$259*(1-(Inputs!$D$183+$E$258))</f>
      </c>
      <c r="F274" s="20">
        <f>$F$259*(1-(Inputs!$E$183+$E$258))</f>
      </c>
      <c r="G274" s="20">
        <f>$G$259*(1-(Inputs!$F$183+$E$258))</f>
      </c>
      <c r="H274" s="20">
        <f>$H$259*(1-(Inputs!$G$183+$E$258))</f>
      </c>
      <c r="I274" s="20">
        <f>$I$259*(1-(Inputs!$H$183+$E$258))</f>
      </c>
      <c r="J274" s="20">
        <f>$J$259*(1-(Inputs!$I$183+$E$258))</f>
      </c>
    </row>
    <row r="275" spans="2:10" x14ac:dyDescent="0.25">
      <c r="B275" s="2" t="s">
        <v>1195</v>
      </c>
      <c r="C275" s="2" t="s">
        <v>14</v>
      </c>
      <c r="D275" s="20">
        <f>Inputs!$E$67</f>
      </c>
      <c r="E275" s="20">
        <f>$E$259*Inputs!$D$191/Inputs!$D$18</f>
      </c>
      <c r="F275" s="20">
        <f>$F$259*Inputs!$E$191/Inputs!$D$18</f>
      </c>
      <c r="G275" s="20">
        <f>$G$259*Inputs!$F$191/Inputs!$D$18</f>
      </c>
      <c r="H275" s="20">
        <f>$H$259*Inputs!$G$191/Inputs!$D$18</f>
      </c>
      <c r="I275" s="20">
        <f>$I$259*Inputs!$H$191/Inputs!$D$18</f>
      </c>
      <c r="J275" s="20">
        <f>$J$259*Inputs!$I$191/Inputs!$D$18</f>
      </c>
    </row>
    <row r="276" spans="2:10" x14ac:dyDescent="0.25">
      <c r="B276" s="2" t="s">
        <v>1196</v>
      </c>
      <c r="C276" s="2" t="s">
        <v>14</v>
      </c>
      <c r="D276" s="20">
        <f>Inputs!$E$66</f>
      </c>
      <c r="E276" s="20">
        <f>$E$274*Inputs!$D$192/Inputs!$D$18</f>
      </c>
      <c r="F276" s="20">
        <f>$F$274*Inputs!$E$192/Inputs!$D$18</f>
      </c>
      <c r="G276" s="20">
        <f>$G$274*Inputs!$F$192/Inputs!$D$18</f>
      </c>
      <c r="H276" s="20">
        <f>$H$274*Inputs!$G$192/Inputs!$D$18</f>
      </c>
      <c r="I276" s="20">
        <f>$I$274*Inputs!$H$192/Inputs!$D$18</f>
      </c>
      <c r="J276" s="20">
        <f>$J$274*Inputs!$I$192/Inputs!$D$18</f>
      </c>
    </row>
    <row r="277" spans="2:10" x14ac:dyDescent="0.25">
      <c r="B277" s="2" t="s">
        <v>1197</v>
      </c>
      <c r="C277" s="2" t="s">
        <v>14</v>
      </c>
      <c r="D277" s="20">
        <f>Inputs!$E$93</f>
      </c>
      <c r="E277" s="20">
        <f>$E$274*Inputs!$D$193/Inputs!$D$18</f>
      </c>
      <c r="F277" s="20">
        <f>$F$274*Inputs!$E$193/Inputs!$D$18</f>
      </c>
      <c r="G277" s="20">
        <f>$G$274*Inputs!$F$193/Inputs!$D$18</f>
      </c>
      <c r="H277" s="20">
        <f>$H$274*Inputs!$G$193/Inputs!$D$18</f>
      </c>
      <c r="I277" s="20">
        <f>$I$274*Inputs!$H$193/Inputs!$D$18</f>
      </c>
      <c r="J277" s="20">
        <f>$J$274*Inputs!$I$193/Inputs!$D$18</f>
      </c>
    </row>
    <row r="278" spans="2:10" x14ac:dyDescent="0.25">
      <c r="B278" s="2" t="s">
        <v>1198</v>
      </c>
      <c r="C278" s="2" t="s">
        <v>14</v>
      </c>
      <c r="D278" s="20">
        <f>Inputs!$E$70+Inputs!$E$72+Inputs!$E$71</f>
      </c>
      <c r="E278" s="20">
        <f>$E$259*Inputs!$D$194</f>
      </c>
      <c r="F278" s="20">
        <f>$F$259*Inputs!$E$194</f>
      </c>
      <c r="G278" s="20">
        <f>$G$259*Inputs!$F$194</f>
      </c>
      <c r="H278" s="20">
        <f>$H$259*Inputs!$G$194</f>
      </c>
      <c r="I278" s="20">
        <f>$I$259*Inputs!$H$194</f>
      </c>
      <c r="J278" s="20">
        <f>$J$259*Inputs!$I$194</f>
      </c>
    </row>
    <row r="279" spans="2:10" x14ac:dyDescent="0.25">
      <c r="B279" s="2" t="s">
        <v>1199</v>
      </c>
      <c r="C279" s="2" t="s">
        <v>14</v>
      </c>
      <c r="D279" s="20">
        <f>Inputs!$E$94+Inputs!$E$95+Inputs!$E$97+Inputs!$E$98+Inputs!$E$99</f>
      </c>
      <c r="E279" s="20">
        <f>$E$259*Inputs!$D$195</f>
      </c>
      <c r="F279" s="20">
        <f>$F$259*Inputs!$E$195</f>
      </c>
      <c r="G279" s="20">
        <f>$G$259*Inputs!$F$195</f>
      </c>
      <c r="H279" s="20">
        <f>$H$259*Inputs!$G$195</f>
      </c>
      <c r="I279" s="20">
        <f>$I$259*Inputs!$H$195</f>
      </c>
      <c r="J279" s="20">
        <f>$J$259*Inputs!$I$195</f>
      </c>
    </row>
    <row r="280" spans="2:10" x14ac:dyDescent="0.25">
      <c r="B280" s="2" t="s">
        <v>1200</v>
      </c>
      <c r="C280" s="2" t="s">
        <v>14</v>
      </c>
      <c r="D280" s="33">
        <f>$D$275+$D$276+$D$278-$D$277-$D$279</f>
      </c>
      <c r="E280" s="33">
        <f>$E$275+$E$276+$E$278-$E$277-$E$279</f>
      </c>
      <c r="F280" s="33">
        <f>$F$275+$F$276+$F$278-$F$277-$F$279</f>
      </c>
      <c r="G280" s="33">
        <f>$G$275+$G$276+$G$278-$G$277-$G$279</f>
      </c>
      <c r="H280" s="33">
        <f>$H$275+$H$276+$H$278-$H$277-$H$279</f>
      </c>
      <c r="I280" s="33">
        <f>$I$275+$I$276+$I$278-$I$277-$I$279</f>
      </c>
      <c r="J280" s="33">
        <f>$J$275+$J$276+$J$278-$J$277-$J$279</f>
      </c>
    </row>
    <row r="281" spans="2:10" x14ac:dyDescent="0.25">
      <c r="B281" s="2" t="s">
        <v>1201</v>
      </c>
      <c r="C281" s="2" t="s">
        <v>14</v>
      </c>
      <c r="E281" s="20">
        <f>$E$280-$D$280</f>
      </c>
      <c r="F281" s="20">
        <f>$F$280-$E$280</f>
      </c>
      <c r="G281" s="20">
        <f>$G$280-$F$280</f>
      </c>
      <c r="H281" s="20">
        <f>$H$280-$G$280</f>
      </c>
      <c r="I281" s="20">
        <f>$I$280-$H$280</f>
      </c>
      <c r="J281" s="20">
        <f>$J$280-$I$280</f>
      </c>
    </row>
    <row r="282" spans="2:10" x14ac:dyDescent="0.25">
      <c r="B282" s="2" t="s">
        <v>1202</v>
      </c>
      <c r="C282" s="2" t="s">
        <v>14</v>
      </c>
      <c r="D282" s="20">
        <f>Inputs!$E$49</f>
      </c>
      <c r="E282" s="20">
        <f>$E$273+Inputs!$D$202*(1-$E$271)</f>
      </c>
      <c r="F282" s="20">
        <f>$F$273+Inputs!$D$202*(1-$F$271)</f>
      </c>
      <c r="G282" s="20">
        <f>$G$273+Inputs!$D$202*(1-$G$271)</f>
      </c>
      <c r="H282" s="20">
        <f>$H$273+Inputs!$D$202*(1-$H$271)</f>
      </c>
      <c r="I282" s="20">
        <f>$I$273+Inputs!$D$202*(1-$I$271)</f>
      </c>
      <c r="J282" s="20">
        <f>$J$273+Inputs!$D$202*(1-$J$271)</f>
      </c>
    </row>
    <row r="283" spans="2:10" x14ac:dyDescent="0.25">
      <c r="B283" s="2" t="s">
        <v>1203</v>
      </c>
      <c r="C283" s="2" t="s">
        <v>14</v>
      </c>
      <c r="E283" s="20">
        <f>IF(Inputs!$D$200=1,Inputs!$D$201*$D$282,0)</f>
      </c>
      <c r="F283" s="20">
        <f>IF(Inputs!$D$200=1,Inputs!$D$201*$E$282,0)</f>
      </c>
      <c r="G283" s="20">
        <f>IF(Inputs!$D$200=1,Inputs!$D$201*$F$282,0)</f>
      </c>
      <c r="H283" s="20">
        <f>IF(Inputs!$D$200=1,Inputs!$D$201*$G$282,0)</f>
      </c>
      <c r="I283" s="20">
        <f>IF(Inputs!$D$200=1,Inputs!$D$201*$H$282,0)</f>
      </c>
      <c r="J283" s="20">
        <f>IF(Inputs!$D$200=1,Inputs!$D$201*$I$282,0)</f>
      </c>
    </row>
    <row r="284" spans="2:10" x14ac:dyDescent="0.25">
      <c r="B284" s="9" t="s">
        <v>1204</v>
      </c>
      <c r="C284" s="2" t="s">
        <v>14</v>
      </c>
      <c r="E284" s="34">
        <f>$E$273+$E$267-$E$268-$E$281-$E$283</f>
      </c>
      <c r="F284" s="34">
        <f>$F$273+$F$267-$F$268-$F$281-$F$283</f>
      </c>
      <c r="G284" s="34">
        <f>$G$273+$G$267-$G$268-$G$281-$G$283</f>
      </c>
      <c r="H284" s="34">
        <f>$H$273+$H$267-$H$268-$H$281-$H$283</f>
      </c>
      <c r="I284" s="34">
        <f>$I$273+$I$267-$I$268-$I$281-$I$283</f>
      </c>
      <c r="J284" s="34">
        <f>$J$273+$J$267-$J$268-$J$281-$J$283</f>
      </c>
    </row>
    <row r="285" spans="2:9" x14ac:dyDescent="0.25">
      <c r="B285" s="2" t="s">
        <v>1205</v>
      </c>
      <c r="C285" s="2" t="s">
        <v>14</v>
      </c>
      <c r="E285" s="20">
        <f>$E$284*DCF!$D$10*(1+WACC!$D$54)^(-DCF!$D$12)</f>
      </c>
      <c r="F285" s="20">
        <f>$F$284*DCF!$E$10*(1+WACC!$D$54)^(-DCF!$E$12)</f>
      </c>
      <c r="G285" s="20">
        <f>$G$284*DCF!$F$10*(1+WACC!$D$54)^(-DCF!$F$12)</f>
      </c>
      <c r="H285" s="20">
        <f>$H$284*DCF!$G$10*(1+WACC!$D$54)^(-DCF!$G$12)</f>
      </c>
      <c r="I285" s="20">
        <f>$I$284*DCF!$H$10*(1+WACC!$D$54)^(-DCF!$H$12)</f>
      </c>
    </row>
    <row r="286" spans="2:4" x14ac:dyDescent="0.25">
      <c r="B286" s="2" t="s">
        <v>1206</v>
      </c>
      <c r="C286" s="2" t="s">
        <v>14</v>
      </c>
      <c r="D286" s="20">
        <f>SUM($E$285:$I$285)</f>
      </c>
    </row>
    <row r="287" spans="2:4" x14ac:dyDescent="0.25">
      <c r="B287" s="2" t="s">
        <v>1207</v>
      </c>
      <c r="C287" s="2" t="s">
        <v>14</v>
      </c>
      <c r="D287" s="20">
        <f>IF(Inputs!$D$171="gordon",IF(Inputs!$D$172&lt;WACC!$D$54,$J$284/(WACC!$D$54-Inputs!$D$172),"n/a"),$I$263*Inputs!$D$173)</f>
      </c>
    </row>
    <row r="288" spans="2:4" x14ac:dyDescent="0.25">
      <c r="B288" s="2" t="s">
        <v>1208</v>
      </c>
      <c r="C288" s="2" t="s">
        <v>14</v>
      </c>
      <c r="D288" s="33">
        <f>IFERROR($D$286+$D$287*(1+WACC!$D$54)^(-DCF!$D$21),"n/a")</f>
      </c>
    </row>
    <row r="289" spans="2:4" x14ac:dyDescent="0.25">
      <c r="B289" s="2" t="s">
        <v>1209</v>
      </c>
      <c r="C289" s="2" t="s">
        <v>14</v>
      </c>
      <c r="D289" s="20">
        <f>IFERROR($D$288+DCF!$D$51,"n/a")</f>
      </c>
    </row>
    <row r="290" spans="2:4" x14ac:dyDescent="0.25">
      <c r="B290" s="9" t="s">
        <v>1210</v>
      </c>
      <c r="C290" s="2" t="s">
        <v>14</v>
      </c>
      <c r="D290" s="40">
        <f>IFERROR($D$289/Inputs!$D$15,"n/a")</f>
      </c>
    </row>
    <row r="292" spans="2:5" x14ac:dyDescent="0.25">
      <c r="B292" s="2" t="s">
        <v>1211</v>
      </c>
      <c r="C292" s="2" t="s">
        <v>326</v>
      </c>
      <c r="D292" s="15">
        <f>Inputs!$E$237*Inputs!$D$233</f>
      </c>
      <c r="E292" s="15">
        <f>Inputs!$F$237*Inputs!$D$234</f>
      </c>
    </row>
    <row r="293" spans="2:10" x14ac:dyDescent="0.25">
      <c r="B293" s="9" t="s">
        <v>1212</v>
      </c>
      <c r="C293" s="2" t="s">
        <v>14</v>
      </c>
      <c r="D293" s="35">
        <f>Inputs!$E$23</f>
      </c>
      <c r="E293" s="35">
        <f>$D$293*(1+(Inputs!$D$182+$D$292))</f>
      </c>
      <c r="F293" s="35">
        <f>$E$293*(1+(Inputs!$E$182+$D$292))</f>
      </c>
      <c r="G293" s="35">
        <f>$F$293*(1+(Inputs!$F$182+$D$292))</f>
      </c>
      <c r="H293" s="35">
        <f>$G$293*(1+(Inputs!$G$182+$D$292))</f>
      </c>
      <c r="I293" s="35">
        <f>$H$293*(1+(Inputs!$H$182+$D$292))</f>
      </c>
      <c r="J293" s="35">
        <f>$I$293*(1+Inputs!$D$172)</f>
      </c>
    </row>
    <row r="294" spans="2:10" x14ac:dyDescent="0.25">
      <c r="B294" s="2" t="s">
        <v>1213</v>
      </c>
      <c r="C294" s="2" t="s">
        <v>14</v>
      </c>
      <c r="D294" s="20">
        <f>$D$293*((Inputs!$E$26+Inputs!$E$51+Inputs!$E$52)/$D$293)</f>
      </c>
      <c r="E294" s="20">
        <f>$E$293*(Inputs!$D$183+$E$292)</f>
      </c>
      <c r="F294" s="20">
        <f>$F$293*(Inputs!$E$183+$E$292)</f>
      </c>
      <c r="G294" s="20">
        <f>$G$293*(Inputs!$F$183+$E$292)</f>
      </c>
      <c r="H294" s="20">
        <f>$H$293*(Inputs!$G$183+$E$292)</f>
      </c>
      <c r="I294" s="20">
        <f>$I$293*(Inputs!$H$183+$E$292)</f>
      </c>
      <c r="J294" s="20">
        <f>$J$293*(Inputs!$I$183+$E$292)</f>
      </c>
    </row>
    <row r="295" spans="2:10" x14ac:dyDescent="0.25">
      <c r="B295" s="2" t="s">
        <v>1214</v>
      </c>
      <c r="C295" s="2" t="s">
        <v>14</v>
      </c>
      <c r="D295" s="20">
        <f>-(Inputs!$E$29+Inputs!$E$30)</f>
      </c>
      <c r="E295" s="20">
        <f>$E$293*Inputs!$D$184</f>
      </c>
      <c r="F295" s="20">
        <f>$F$293*Inputs!$E$184</f>
      </c>
      <c r="G295" s="20">
        <f>$G$293*Inputs!$F$184</f>
      </c>
      <c r="H295" s="20">
        <f>$H$293*Inputs!$G$184</f>
      </c>
      <c r="I295" s="20">
        <f>$I$293*Inputs!$H$184</f>
      </c>
      <c r="J295" s="20">
        <f>$J$293*Inputs!$I$184</f>
      </c>
    </row>
    <row r="296" spans="2:10" x14ac:dyDescent="0.25">
      <c r="B296" s="2" t="s">
        <v>1215</v>
      </c>
      <c r="C296" s="2" t="s">
        <v>14</v>
      </c>
      <c r="D296" s="20">
        <f>Normalization!$D$13-Inputs!$E$26-Inputs!$E$29-Inputs!$E$30</f>
      </c>
      <c r="E296" s="20">
        <f>$E$293*Inputs!$D$185</f>
      </c>
      <c r="F296" s="20">
        <f>$F$293*Inputs!$E$185</f>
      </c>
      <c r="G296" s="20">
        <f>$G$293*Inputs!$F$185</f>
      </c>
      <c r="H296" s="20">
        <f>$H$293*Inputs!$G$185</f>
      </c>
      <c r="I296" s="20">
        <f>$I$293*Inputs!$H$185</f>
      </c>
      <c r="J296" s="20">
        <f>$J$293*Inputs!$I$185</f>
      </c>
    </row>
    <row r="297" spans="2:10" x14ac:dyDescent="0.25">
      <c r="B297" s="9" t="s">
        <v>1216</v>
      </c>
      <c r="C297" s="2" t="s">
        <v>14</v>
      </c>
      <c r="D297" s="34">
        <f>$D$294-$D$295+$D$296</f>
      </c>
      <c r="E297" s="34">
        <f>$E$294-$E$295+$E$296</f>
      </c>
      <c r="F297" s="34">
        <f>$F$294-$F$295+$F$296</f>
      </c>
      <c r="G297" s="34">
        <f>$G$294-$G$295+$G$296</f>
      </c>
      <c r="H297" s="34">
        <f>$H$294-$H$295+$H$296</f>
      </c>
      <c r="I297" s="34">
        <f>$I$294-$I$295+$I$296</f>
      </c>
      <c r="J297" s="34">
        <f>$J$294-$J$295+$J$296</f>
      </c>
    </row>
    <row r="298" spans="2:10" x14ac:dyDescent="0.25">
      <c r="B298" s="2" t="s">
        <v>1217</v>
      </c>
      <c r="C298" s="2" t="s">
        <v>14</v>
      </c>
      <c r="E298" s="20">
        <f>Inputs!$E$57</f>
      </c>
      <c r="F298" s="20">
        <f>$E$303</f>
      </c>
      <c r="G298" s="20">
        <f>$F$303</f>
      </c>
      <c r="H298" s="20">
        <f>$G$303</f>
      </c>
      <c r="I298" s="20">
        <f>$H$303</f>
      </c>
      <c r="J298" s="20">
        <f>$I$303</f>
      </c>
    </row>
    <row r="299" spans="2:10" x14ac:dyDescent="0.25">
      <c r="B299" s="2" t="s">
        <v>1218</v>
      </c>
      <c r="C299" s="2" t="s">
        <v>14</v>
      </c>
      <c r="D299" s="20">
        <f>Inputs!$E$51</f>
      </c>
      <c r="E299" s="20">
        <f>IF(Inputs!$D$180="ppe_rollforward",Inputs!$D$187*$E$298,$E$293*Inputs!$D$186)</f>
      </c>
      <c r="F299" s="20">
        <f>IF(Inputs!$D$180="ppe_rollforward",Inputs!$E$187*$F$298,$F$293*Inputs!$E$186)</f>
      </c>
      <c r="G299" s="20">
        <f>IF(Inputs!$D$180="ppe_rollforward",Inputs!$F$187*$G$298,$G$293*Inputs!$F$186)</f>
      </c>
      <c r="H299" s="20">
        <f>IF(Inputs!$D$180="ppe_rollforward",Inputs!$G$187*$H$298,$H$293*Inputs!$G$186)</f>
      </c>
      <c r="I299" s="20">
        <f>IF(Inputs!$D$180="ppe_rollforward",Inputs!$H$187*$I$298,$I$293*Inputs!$H$186)</f>
      </c>
      <c r="J299" s="20">
        <f>IF(Inputs!$D$180="ppe_rollforward",Inputs!$I$187*$J$298,$J$293*Inputs!$I$186)</f>
      </c>
    </row>
    <row r="300" spans="2:10" x14ac:dyDescent="0.25">
      <c r="B300" s="2" t="s">
        <v>1219</v>
      </c>
      <c r="C300" s="2" t="s">
        <v>14</v>
      </c>
      <c r="D300" s="20">
        <f>Inputs!$E$52</f>
      </c>
      <c r="E300" s="20">
        <f>IF(Inputs!$D$180="ppe_rollforward",$E$293*Inputs!$D$188,0)</f>
      </c>
      <c r="F300" s="20">
        <f>IF(Inputs!$D$180="ppe_rollforward",$F$293*Inputs!$E$188,0)</f>
      </c>
      <c r="G300" s="20">
        <f>IF(Inputs!$D$180="ppe_rollforward",$G$293*Inputs!$F$188,0)</f>
      </c>
      <c r="H300" s="20">
        <f>IF(Inputs!$D$180="ppe_rollforward",$H$293*Inputs!$G$188,0)</f>
      </c>
      <c r="I300" s="20">
        <f>IF(Inputs!$D$180="ppe_rollforward",$I$293*Inputs!$H$188,0)</f>
      </c>
      <c r="J300" s="20">
        <f>IF(Inputs!$D$180="ppe_rollforward",$J$293*Inputs!$I$188,0)</f>
      </c>
    </row>
    <row r="301" spans="2:10" x14ac:dyDescent="0.25">
      <c r="B301" s="2" t="s">
        <v>1220</v>
      </c>
      <c r="C301" s="2" t="s">
        <v>14</v>
      </c>
      <c r="D301" s="20">
        <f>$D$299+$D$300</f>
      </c>
      <c r="E301" s="20">
        <f>$E$299+$E$300</f>
      </c>
      <c r="F301" s="20">
        <f>$F$299+$F$300</f>
      </c>
      <c r="G301" s="20">
        <f>$G$299+$G$300</f>
      </c>
      <c r="H301" s="20">
        <f>$H$299+$H$300</f>
      </c>
      <c r="I301" s="20">
        <f>$I$299+$I$300</f>
      </c>
      <c r="J301" s="20">
        <f>$J$299+$J$300</f>
      </c>
    </row>
    <row r="302" spans="2:10" x14ac:dyDescent="0.25">
      <c r="B302" s="2" t="s">
        <v>1221</v>
      </c>
      <c r="C302" s="2" t="s">
        <v>14</v>
      </c>
      <c r="D302" s="20">
        <f>-Inputs!$E$111</f>
      </c>
      <c r="E302" s="20">
        <f>IF(Inputs!$D$181="absolute",Inputs!$D$190,$E$293*Inputs!$D$189)</f>
      </c>
      <c r="F302" s="20">
        <f>IF(Inputs!$D$181="absolute",Inputs!$E$190,$F$293*Inputs!$E$189)</f>
      </c>
      <c r="G302" s="20">
        <f>IF(Inputs!$D$181="absolute",Inputs!$F$190,$G$293*Inputs!$F$189)</f>
      </c>
      <c r="H302" s="20">
        <f>IF(Inputs!$D$181="absolute",Inputs!$G$190,$H$293*Inputs!$G$189)</f>
      </c>
      <c r="I302" s="20">
        <f>IF(Inputs!$D$181="absolute",Inputs!$H$190,$I$293*Inputs!$H$189)</f>
      </c>
      <c r="J302" s="20">
        <f>$J$293*Inputs!$I$189</f>
      </c>
    </row>
    <row r="303" spans="2:10" x14ac:dyDescent="0.25">
      <c r="B303" s="2" t="s">
        <v>1222</v>
      </c>
      <c r="C303" s="2" t="s">
        <v>14</v>
      </c>
      <c r="D303" s="20">
        <f>Inputs!$E$57</f>
      </c>
      <c r="E303" s="20">
        <f>$E$298+$E$302-$E$299</f>
      </c>
      <c r="F303" s="20">
        <f>$F$298+$F$302-$F$299</f>
      </c>
      <c r="G303" s="20">
        <f>$G$298+$G$302-$G$299</f>
      </c>
      <c r="H303" s="20">
        <f>$H$298+$H$302-$H$299</f>
      </c>
      <c r="I303" s="20">
        <f>$I$298+$I$302-$I$299</f>
      </c>
      <c r="J303" s="20">
        <f>$J$298+$J$302-$J$299</f>
      </c>
    </row>
    <row r="304" spans="2:10" x14ac:dyDescent="0.25">
      <c r="B304" s="9" t="s">
        <v>1223</v>
      </c>
      <c r="C304" s="2" t="s">
        <v>14</v>
      </c>
      <c r="D304" s="35">
        <f>$D$297-$D$301</f>
      </c>
      <c r="E304" s="35">
        <f>$E$297-$E$301</f>
      </c>
      <c r="F304" s="35">
        <f>$F$297-$F$301</f>
      </c>
      <c r="G304" s="35">
        <f>$G$297-$G$301</f>
      </c>
      <c r="H304" s="35">
        <f>$H$297-$H$301</f>
      </c>
      <c r="I304" s="35">
        <f>$I$297-$I$301</f>
      </c>
      <c r="J304" s="35">
        <f>$J$297-$J$301</f>
      </c>
    </row>
    <row r="305" spans="2:10" x14ac:dyDescent="0.25">
      <c r="B305" s="2" t="s">
        <v>1224</v>
      </c>
      <c r="C305" s="2" t="s">
        <v>54</v>
      </c>
      <c r="D305" s="11">
        <f>Inputs!$D$133</f>
      </c>
      <c r="E305" s="11">
        <f>Inputs!$D$196</f>
      </c>
      <c r="F305" s="11">
        <f>Inputs!$E$196</f>
      </c>
      <c r="G305" s="11">
        <f>Inputs!$F$196</f>
      </c>
      <c r="H305" s="11">
        <f>Inputs!$G$196</f>
      </c>
      <c r="I305" s="11">
        <f>Inputs!$H$196</f>
      </c>
      <c r="J305" s="11">
        <f>Inputs!$I$196</f>
      </c>
    </row>
    <row r="306" spans="2:10" x14ac:dyDescent="0.25">
      <c r="B306" s="2" t="s">
        <v>1225</v>
      </c>
      <c r="C306" s="2" t="s">
        <v>14</v>
      </c>
      <c r="D306" s="20">
        <f>$D$304*$D$305</f>
      </c>
      <c r="E306" s="20">
        <f>$E$304*$E$305</f>
      </c>
      <c r="F306" s="20">
        <f>$F$304*$F$305</f>
      </c>
      <c r="G306" s="20">
        <f>$G$304*$G$305</f>
      </c>
      <c r="H306" s="20">
        <f>$H$304*$H$305</f>
      </c>
      <c r="I306" s="20">
        <f>$I$304*$I$305</f>
      </c>
      <c r="J306" s="20">
        <f>$J$304*$J$305</f>
      </c>
    </row>
    <row r="307" spans="2:10" x14ac:dyDescent="0.25">
      <c r="B307" s="2" t="s">
        <v>1226</v>
      </c>
      <c r="C307" s="2" t="s">
        <v>14</v>
      </c>
      <c r="D307" s="33">
        <f>$D$304-$D$306</f>
      </c>
      <c r="E307" s="33">
        <f>$E$304-$E$306</f>
      </c>
      <c r="F307" s="33">
        <f>$F$304-$F$306</f>
      </c>
      <c r="G307" s="33">
        <f>$G$304-$G$306</f>
      </c>
      <c r="H307" s="33">
        <f>$H$304-$H$306</f>
      </c>
      <c r="I307" s="33">
        <f>$I$304-$I$306</f>
      </c>
      <c r="J307" s="33">
        <f>$J$304-$J$306</f>
      </c>
    </row>
    <row r="308" spans="2:10" x14ac:dyDescent="0.25">
      <c r="B308" s="2" t="s">
        <v>1227</v>
      </c>
      <c r="C308" s="2" t="s">
        <v>14</v>
      </c>
      <c r="D308" s="20">
        <f>$D$293*(1-((Inputs!$E$26+Inputs!$E$51+Inputs!$E$52)/$D$293))</f>
      </c>
      <c r="E308" s="20">
        <f>$E$293*(1-(Inputs!$D$183+$E$292))</f>
      </c>
      <c r="F308" s="20">
        <f>$F$293*(1-(Inputs!$E$183+$E$292))</f>
      </c>
      <c r="G308" s="20">
        <f>$G$293*(1-(Inputs!$F$183+$E$292))</f>
      </c>
      <c r="H308" s="20">
        <f>$H$293*(1-(Inputs!$G$183+$E$292))</f>
      </c>
      <c r="I308" s="20">
        <f>$I$293*(1-(Inputs!$H$183+$E$292))</f>
      </c>
      <c r="J308" s="20">
        <f>$J$293*(1-(Inputs!$I$183+$E$292))</f>
      </c>
    </row>
    <row r="309" spans="2:10" x14ac:dyDescent="0.25">
      <c r="B309" s="2" t="s">
        <v>1228</v>
      </c>
      <c r="C309" s="2" t="s">
        <v>14</v>
      </c>
      <c r="D309" s="20">
        <f>Inputs!$E$67</f>
      </c>
      <c r="E309" s="20">
        <f>$E$293*Inputs!$D$191/Inputs!$D$18</f>
      </c>
      <c r="F309" s="20">
        <f>$F$293*Inputs!$E$191/Inputs!$D$18</f>
      </c>
      <c r="G309" s="20">
        <f>$G$293*Inputs!$F$191/Inputs!$D$18</f>
      </c>
      <c r="H309" s="20">
        <f>$H$293*Inputs!$G$191/Inputs!$D$18</f>
      </c>
      <c r="I309" s="20">
        <f>$I$293*Inputs!$H$191/Inputs!$D$18</f>
      </c>
      <c r="J309" s="20">
        <f>$J$293*Inputs!$I$191/Inputs!$D$18</f>
      </c>
    </row>
    <row r="310" spans="2:10" x14ac:dyDescent="0.25">
      <c r="B310" s="2" t="s">
        <v>1229</v>
      </c>
      <c r="C310" s="2" t="s">
        <v>14</v>
      </c>
      <c r="D310" s="20">
        <f>Inputs!$E$66</f>
      </c>
      <c r="E310" s="20">
        <f>$E$308*Inputs!$D$192/Inputs!$D$18</f>
      </c>
      <c r="F310" s="20">
        <f>$F$308*Inputs!$E$192/Inputs!$D$18</f>
      </c>
      <c r="G310" s="20">
        <f>$G$308*Inputs!$F$192/Inputs!$D$18</f>
      </c>
      <c r="H310" s="20">
        <f>$H$308*Inputs!$G$192/Inputs!$D$18</f>
      </c>
      <c r="I310" s="20">
        <f>$I$308*Inputs!$H$192/Inputs!$D$18</f>
      </c>
      <c r="J310" s="20">
        <f>$J$308*Inputs!$I$192/Inputs!$D$18</f>
      </c>
    </row>
    <row r="311" spans="2:10" x14ac:dyDescent="0.25">
      <c r="B311" s="2" t="s">
        <v>1230</v>
      </c>
      <c r="C311" s="2" t="s">
        <v>14</v>
      </c>
      <c r="D311" s="20">
        <f>Inputs!$E$93</f>
      </c>
      <c r="E311" s="20">
        <f>$E$308*Inputs!$D$193/Inputs!$D$18</f>
      </c>
      <c r="F311" s="20">
        <f>$F$308*Inputs!$E$193/Inputs!$D$18</f>
      </c>
      <c r="G311" s="20">
        <f>$G$308*Inputs!$F$193/Inputs!$D$18</f>
      </c>
      <c r="H311" s="20">
        <f>$H$308*Inputs!$G$193/Inputs!$D$18</f>
      </c>
      <c r="I311" s="20">
        <f>$I$308*Inputs!$H$193/Inputs!$D$18</f>
      </c>
      <c r="J311" s="20">
        <f>$J$308*Inputs!$I$193/Inputs!$D$18</f>
      </c>
    </row>
    <row r="312" spans="2:10" x14ac:dyDescent="0.25">
      <c r="B312" s="2" t="s">
        <v>1231</v>
      </c>
      <c r="C312" s="2" t="s">
        <v>14</v>
      </c>
      <c r="D312" s="20">
        <f>Inputs!$E$70+Inputs!$E$72+Inputs!$E$71</f>
      </c>
      <c r="E312" s="20">
        <f>$E$293*Inputs!$D$194</f>
      </c>
      <c r="F312" s="20">
        <f>$F$293*Inputs!$E$194</f>
      </c>
      <c r="G312" s="20">
        <f>$G$293*Inputs!$F$194</f>
      </c>
      <c r="H312" s="20">
        <f>$H$293*Inputs!$G$194</f>
      </c>
      <c r="I312" s="20">
        <f>$I$293*Inputs!$H$194</f>
      </c>
      <c r="J312" s="20">
        <f>$J$293*Inputs!$I$194</f>
      </c>
    </row>
    <row r="313" spans="2:10" x14ac:dyDescent="0.25">
      <c r="B313" s="2" t="s">
        <v>1232</v>
      </c>
      <c r="C313" s="2" t="s">
        <v>14</v>
      </c>
      <c r="D313" s="20">
        <f>Inputs!$E$94+Inputs!$E$95+Inputs!$E$97+Inputs!$E$98+Inputs!$E$99</f>
      </c>
      <c r="E313" s="20">
        <f>$E$293*Inputs!$D$195</f>
      </c>
      <c r="F313" s="20">
        <f>$F$293*Inputs!$E$195</f>
      </c>
      <c r="G313" s="20">
        <f>$G$293*Inputs!$F$195</f>
      </c>
      <c r="H313" s="20">
        <f>$H$293*Inputs!$G$195</f>
      </c>
      <c r="I313" s="20">
        <f>$I$293*Inputs!$H$195</f>
      </c>
      <c r="J313" s="20">
        <f>$J$293*Inputs!$I$195</f>
      </c>
    </row>
    <row r="314" spans="2:10" x14ac:dyDescent="0.25">
      <c r="B314" s="2" t="s">
        <v>1233</v>
      </c>
      <c r="C314" s="2" t="s">
        <v>14</v>
      </c>
      <c r="D314" s="33">
        <f>$D$309+$D$310+$D$312-$D$311-$D$313</f>
      </c>
      <c r="E314" s="33">
        <f>$E$309+$E$310+$E$312-$E$311-$E$313</f>
      </c>
      <c r="F314" s="33">
        <f>$F$309+$F$310+$F$312-$F$311-$F$313</f>
      </c>
      <c r="G314" s="33">
        <f>$G$309+$G$310+$G$312-$G$311-$G$313</f>
      </c>
      <c r="H314" s="33">
        <f>$H$309+$H$310+$H$312-$H$311-$H$313</f>
      </c>
      <c r="I314" s="33">
        <f>$I$309+$I$310+$I$312-$I$311-$I$313</f>
      </c>
      <c r="J314" s="33">
        <f>$J$309+$J$310+$J$312-$J$311-$J$313</f>
      </c>
    </row>
    <row r="315" spans="2:10" x14ac:dyDescent="0.25">
      <c r="B315" s="2" t="s">
        <v>1234</v>
      </c>
      <c r="C315" s="2" t="s">
        <v>14</v>
      </c>
      <c r="E315" s="20">
        <f>$E$314-$D$314</f>
      </c>
      <c r="F315" s="20">
        <f>$F$314-$E$314</f>
      </c>
      <c r="G315" s="20">
        <f>$G$314-$F$314</f>
      </c>
      <c r="H315" s="20">
        <f>$H$314-$G$314</f>
      </c>
      <c r="I315" s="20">
        <f>$I$314-$H$314</f>
      </c>
      <c r="J315" s="20">
        <f>$J$314-$I$314</f>
      </c>
    </row>
    <row r="316" spans="2:10" x14ac:dyDescent="0.25">
      <c r="B316" s="2" t="s">
        <v>1235</v>
      </c>
      <c r="C316" s="2" t="s">
        <v>14</v>
      </c>
      <c r="D316" s="20">
        <f>Inputs!$E$49</f>
      </c>
      <c r="E316" s="20">
        <f>$E$307+Inputs!$D$202*(1-$E$305)</f>
      </c>
      <c r="F316" s="20">
        <f>$F$307+Inputs!$D$202*(1-$F$305)</f>
      </c>
      <c r="G316" s="20">
        <f>$G$307+Inputs!$D$202*(1-$G$305)</f>
      </c>
      <c r="H316" s="20">
        <f>$H$307+Inputs!$D$202*(1-$H$305)</f>
      </c>
      <c r="I316" s="20">
        <f>$I$307+Inputs!$D$202*(1-$I$305)</f>
      </c>
      <c r="J316" s="20">
        <f>$J$307+Inputs!$D$202*(1-$J$305)</f>
      </c>
    </row>
    <row r="317" spans="2:10" x14ac:dyDescent="0.25">
      <c r="B317" s="2" t="s">
        <v>1236</v>
      </c>
      <c r="C317" s="2" t="s">
        <v>14</v>
      </c>
      <c r="E317" s="20">
        <f>IF(Inputs!$D$200=1,Inputs!$D$201*$D$316,0)</f>
      </c>
      <c r="F317" s="20">
        <f>IF(Inputs!$D$200=1,Inputs!$D$201*$E$316,0)</f>
      </c>
      <c r="G317" s="20">
        <f>IF(Inputs!$D$200=1,Inputs!$D$201*$F$316,0)</f>
      </c>
      <c r="H317" s="20">
        <f>IF(Inputs!$D$200=1,Inputs!$D$201*$G$316,0)</f>
      </c>
      <c r="I317" s="20">
        <f>IF(Inputs!$D$200=1,Inputs!$D$201*$H$316,0)</f>
      </c>
      <c r="J317" s="20">
        <f>IF(Inputs!$D$200=1,Inputs!$D$201*$I$316,0)</f>
      </c>
    </row>
    <row r="318" spans="2:10" x14ac:dyDescent="0.25">
      <c r="B318" s="9" t="s">
        <v>1237</v>
      </c>
      <c r="C318" s="2" t="s">
        <v>14</v>
      </c>
      <c r="E318" s="34">
        <f>$E$307+$E$301-$E$302-$E$315-$E$317</f>
      </c>
      <c r="F318" s="34">
        <f>$F$307+$F$301-$F$302-$F$315-$F$317</f>
      </c>
      <c r="G318" s="34">
        <f>$G$307+$G$301-$G$302-$G$315-$G$317</f>
      </c>
      <c r="H318" s="34">
        <f>$H$307+$H$301-$H$302-$H$315-$H$317</f>
      </c>
      <c r="I318" s="34">
        <f>$I$307+$I$301-$I$302-$I$315-$I$317</f>
      </c>
      <c r="J318" s="34">
        <f>$J$307+$J$301-$J$302-$J$315-$J$317</f>
      </c>
    </row>
    <row r="319" spans="2:9" x14ac:dyDescent="0.25">
      <c r="B319" s="2" t="s">
        <v>1238</v>
      </c>
      <c r="C319" s="2" t="s">
        <v>14</v>
      </c>
      <c r="E319" s="20">
        <f>$E$318*DCF!$D$10*(1+WACC!$D$54)^(-DCF!$D$12)</f>
      </c>
      <c r="F319" s="20">
        <f>$F$318*DCF!$E$10*(1+WACC!$D$54)^(-DCF!$E$12)</f>
      </c>
      <c r="G319" s="20">
        <f>$G$318*DCF!$F$10*(1+WACC!$D$54)^(-DCF!$F$12)</f>
      </c>
      <c r="H319" s="20">
        <f>$H$318*DCF!$G$10*(1+WACC!$D$54)^(-DCF!$G$12)</f>
      </c>
      <c r="I319" s="20">
        <f>$I$318*DCF!$H$10*(1+WACC!$D$54)^(-DCF!$H$12)</f>
      </c>
    </row>
    <row r="320" spans="2:4" x14ac:dyDescent="0.25">
      <c r="B320" s="2" t="s">
        <v>1239</v>
      </c>
      <c r="C320" s="2" t="s">
        <v>14</v>
      </c>
      <c r="D320" s="20">
        <f>SUM($E$319:$I$319)</f>
      </c>
    </row>
    <row r="321" spans="2:4" x14ac:dyDescent="0.25">
      <c r="B321" s="2" t="s">
        <v>1240</v>
      </c>
      <c r="C321" s="2" t="s">
        <v>14</v>
      </c>
      <c r="D321" s="20">
        <f>IF(Inputs!$D$171="gordon",IF(Inputs!$D$172&lt;WACC!$D$54,$J$318/(WACC!$D$54-Inputs!$D$172),"n/a"),$I$297*Inputs!$D$173)</f>
      </c>
    </row>
    <row r="322" spans="2:4" x14ac:dyDescent="0.25">
      <c r="B322" s="2" t="s">
        <v>1241</v>
      </c>
      <c r="C322" s="2" t="s">
        <v>14</v>
      </c>
      <c r="D322" s="33">
        <f>IFERROR($D$320+$D$321*(1+WACC!$D$54)^(-DCF!$D$21),"n/a")</f>
      </c>
    </row>
    <row r="323" spans="2:4" x14ac:dyDescent="0.25">
      <c r="B323" s="2" t="s">
        <v>1242</v>
      </c>
      <c r="C323" s="2" t="s">
        <v>14</v>
      </c>
      <c r="D323" s="20">
        <f>IFERROR($D$322+DCF!$D$51,"n/a")</f>
      </c>
    </row>
    <row r="324" spans="2:4" x14ac:dyDescent="0.25">
      <c r="B324" s="9" t="s">
        <v>1243</v>
      </c>
      <c r="C324" s="2" t="s">
        <v>14</v>
      </c>
      <c r="D324" s="40">
        <f>IFERROR($D$323/Inputs!$D$15,"n/a")</f>
      </c>
    </row>
    <row r="326" spans="2:5" x14ac:dyDescent="0.25">
      <c r="B326" s="2" t="s">
        <v>1244</v>
      </c>
      <c r="C326" s="2" t="s">
        <v>326</v>
      </c>
      <c r="D326" s="15">
        <f>Inputs!$E$237*Inputs!$D$233</f>
      </c>
      <c r="E326" s="15">
        <f>Inputs!$G$237*Inputs!$D$234</f>
      </c>
    </row>
    <row r="327" spans="2:10" x14ac:dyDescent="0.25">
      <c r="B327" s="9" t="s">
        <v>1245</v>
      </c>
      <c r="C327" s="2" t="s">
        <v>14</v>
      </c>
      <c r="D327" s="35">
        <f>Inputs!$E$23</f>
      </c>
      <c r="E327" s="35">
        <f>$D$327*(1+(Inputs!$D$182+$D$326))</f>
      </c>
      <c r="F327" s="35">
        <f>$E$327*(1+(Inputs!$E$182+$D$326))</f>
      </c>
      <c r="G327" s="35">
        <f>$F$327*(1+(Inputs!$F$182+$D$326))</f>
      </c>
      <c r="H327" s="35">
        <f>$G$327*(1+(Inputs!$G$182+$D$326))</f>
      </c>
      <c r="I327" s="35">
        <f>$H$327*(1+(Inputs!$H$182+$D$326))</f>
      </c>
      <c r="J327" s="35">
        <f>$I$327*(1+Inputs!$D$172)</f>
      </c>
    </row>
    <row r="328" spans="2:10" x14ac:dyDescent="0.25">
      <c r="B328" s="2" t="s">
        <v>1246</v>
      </c>
      <c r="C328" s="2" t="s">
        <v>14</v>
      </c>
      <c r="D328" s="20">
        <f>$D$327*((Inputs!$E$26+Inputs!$E$51+Inputs!$E$52)/$D$327)</f>
      </c>
      <c r="E328" s="20">
        <f>$E$327*(Inputs!$D$183+$E$326)</f>
      </c>
      <c r="F328" s="20">
        <f>$F$327*(Inputs!$E$183+$E$326)</f>
      </c>
      <c r="G328" s="20">
        <f>$G$327*(Inputs!$F$183+$E$326)</f>
      </c>
      <c r="H328" s="20">
        <f>$H$327*(Inputs!$G$183+$E$326)</f>
      </c>
      <c r="I328" s="20">
        <f>$I$327*(Inputs!$H$183+$E$326)</f>
      </c>
      <c r="J328" s="20">
        <f>$J$327*(Inputs!$I$183+$E$326)</f>
      </c>
    </row>
    <row r="329" spans="2:10" x14ac:dyDescent="0.25">
      <c r="B329" s="2" t="s">
        <v>1247</v>
      </c>
      <c r="C329" s="2" t="s">
        <v>14</v>
      </c>
      <c r="D329" s="20">
        <f>-(Inputs!$E$29+Inputs!$E$30)</f>
      </c>
      <c r="E329" s="20">
        <f>$E$327*Inputs!$D$184</f>
      </c>
      <c r="F329" s="20">
        <f>$F$327*Inputs!$E$184</f>
      </c>
      <c r="G329" s="20">
        <f>$G$327*Inputs!$F$184</f>
      </c>
      <c r="H329" s="20">
        <f>$H$327*Inputs!$G$184</f>
      </c>
      <c r="I329" s="20">
        <f>$I$327*Inputs!$H$184</f>
      </c>
      <c r="J329" s="20">
        <f>$J$327*Inputs!$I$184</f>
      </c>
    </row>
    <row r="330" spans="2:10" x14ac:dyDescent="0.25">
      <c r="B330" s="2" t="s">
        <v>1248</v>
      </c>
      <c r="C330" s="2" t="s">
        <v>14</v>
      </c>
      <c r="D330" s="20">
        <f>Normalization!$D$13-Inputs!$E$26-Inputs!$E$29-Inputs!$E$30</f>
      </c>
      <c r="E330" s="20">
        <f>$E$327*Inputs!$D$185</f>
      </c>
      <c r="F330" s="20">
        <f>$F$327*Inputs!$E$185</f>
      </c>
      <c r="G330" s="20">
        <f>$G$327*Inputs!$F$185</f>
      </c>
      <c r="H330" s="20">
        <f>$H$327*Inputs!$G$185</f>
      </c>
      <c r="I330" s="20">
        <f>$I$327*Inputs!$H$185</f>
      </c>
      <c r="J330" s="20">
        <f>$J$327*Inputs!$I$185</f>
      </c>
    </row>
    <row r="331" spans="2:10" x14ac:dyDescent="0.25">
      <c r="B331" s="9" t="s">
        <v>1249</v>
      </c>
      <c r="C331" s="2" t="s">
        <v>14</v>
      </c>
      <c r="D331" s="34">
        <f>$D$328-$D$329+$D$330</f>
      </c>
      <c r="E331" s="34">
        <f>$E$328-$E$329+$E$330</f>
      </c>
      <c r="F331" s="34">
        <f>$F$328-$F$329+$F$330</f>
      </c>
      <c r="G331" s="34">
        <f>$G$328-$G$329+$G$330</f>
      </c>
      <c r="H331" s="34">
        <f>$H$328-$H$329+$H$330</f>
      </c>
      <c r="I331" s="34">
        <f>$I$328-$I$329+$I$330</f>
      </c>
      <c r="J331" s="34">
        <f>$J$328-$J$329+$J$330</f>
      </c>
    </row>
    <row r="332" spans="2:10" x14ac:dyDescent="0.25">
      <c r="B332" s="2" t="s">
        <v>1250</v>
      </c>
      <c r="C332" s="2" t="s">
        <v>14</v>
      </c>
      <c r="E332" s="20">
        <f>Inputs!$E$57</f>
      </c>
      <c r="F332" s="20">
        <f>$E$337</f>
      </c>
      <c r="G332" s="20">
        <f>$F$337</f>
      </c>
      <c r="H332" s="20">
        <f>$G$337</f>
      </c>
      <c r="I332" s="20">
        <f>$H$337</f>
      </c>
      <c r="J332" s="20">
        <f>$I$337</f>
      </c>
    </row>
    <row r="333" spans="2:10" x14ac:dyDescent="0.25">
      <c r="B333" s="2" t="s">
        <v>1251</v>
      </c>
      <c r="C333" s="2" t="s">
        <v>14</v>
      </c>
      <c r="D333" s="20">
        <f>Inputs!$E$51</f>
      </c>
      <c r="E333" s="20">
        <f>IF(Inputs!$D$180="ppe_rollforward",Inputs!$D$187*$E$332,$E$327*Inputs!$D$186)</f>
      </c>
      <c r="F333" s="20">
        <f>IF(Inputs!$D$180="ppe_rollforward",Inputs!$E$187*$F$332,$F$327*Inputs!$E$186)</f>
      </c>
      <c r="G333" s="20">
        <f>IF(Inputs!$D$180="ppe_rollforward",Inputs!$F$187*$G$332,$G$327*Inputs!$F$186)</f>
      </c>
      <c r="H333" s="20">
        <f>IF(Inputs!$D$180="ppe_rollforward",Inputs!$G$187*$H$332,$H$327*Inputs!$G$186)</f>
      </c>
      <c r="I333" s="20">
        <f>IF(Inputs!$D$180="ppe_rollforward",Inputs!$H$187*$I$332,$I$327*Inputs!$H$186)</f>
      </c>
      <c r="J333" s="20">
        <f>IF(Inputs!$D$180="ppe_rollforward",Inputs!$I$187*$J$332,$J$327*Inputs!$I$186)</f>
      </c>
    </row>
    <row r="334" spans="2:10" x14ac:dyDescent="0.25">
      <c r="B334" s="2" t="s">
        <v>1252</v>
      </c>
      <c r="C334" s="2" t="s">
        <v>14</v>
      </c>
      <c r="D334" s="20">
        <f>Inputs!$E$52</f>
      </c>
      <c r="E334" s="20">
        <f>IF(Inputs!$D$180="ppe_rollforward",$E$327*Inputs!$D$188,0)</f>
      </c>
      <c r="F334" s="20">
        <f>IF(Inputs!$D$180="ppe_rollforward",$F$327*Inputs!$E$188,0)</f>
      </c>
      <c r="G334" s="20">
        <f>IF(Inputs!$D$180="ppe_rollforward",$G$327*Inputs!$F$188,0)</f>
      </c>
      <c r="H334" s="20">
        <f>IF(Inputs!$D$180="ppe_rollforward",$H$327*Inputs!$G$188,0)</f>
      </c>
      <c r="I334" s="20">
        <f>IF(Inputs!$D$180="ppe_rollforward",$I$327*Inputs!$H$188,0)</f>
      </c>
      <c r="J334" s="20">
        <f>IF(Inputs!$D$180="ppe_rollforward",$J$327*Inputs!$I$188,0)</f>
      </c>
    </row>
    <row r="335" spans="2:10" x14ac:dyDescent="0.25">
      <c r="B335" s="2" t="s">
        <v>1253</v>
      </c>
      <c r="C335" s="2" t="s">
        <v>14</v>
      </c>
      <c r="D335" s="20">
        <f>$D$333+$D$334</f>
      </c>
      <c r="E335" s="20">
        <f>$E$333+$E$334</f>
      </c>
      <c r="F335" s="20">
        <f>$F$333+$F$334</f>
      </c>
      <c r="G335" s="20">
        <f>$G$333+$G$334</f>
      </c>
      <c r="H335" s="20">
        <f>$H$333+$H$334</f>
      </c>
      <c r="I335" s="20">
        <f>$I$333+$I$334</f>
      </c>
      <c r="J335" s="20">
        <f>$J$333+$J$334</f>
      </c>
    </row>
    <row r="336" spans="2:10" x14ac:dyDescent="0.25">
      <c r="B336" s="2" t="s">
        <v>1254</v>
      </c>
      <c r="C336" s="2" t="s">
        <v>14</v>
      </c>
      <c r="D336" s="20">
        <f>-Inputs!$E$111</f>
      </c>
      <c r="E336" s="20">
        <f>IF(Inputs!$D$181="absolute",Inputs!$D$190,$E$327*Inputs!$D$189)</f>
      </c>
      <c r="F336" s="20">
        <f>IF(Inputs!$D$181="absolute",Inputs!$E$190,$F$327*Inputs!$E$189)</f>
      </c>
      <c r="G336" s="20">
        <f>IF(Inputs!$D$181="absolute",Inputs!$F$190,$G$327*Inputs!$F$189)</f>
      </c>
      <c r="H336" s="20">
        <f>IF(Inputs!$D$181="absolute",Inputs!$G$190,$H$327*Inputs!$G$189)</f>
      </c>
      <c r="I336" s="20">
        <f>IF(Inputs!$D$181="absolute",Inputs!$H$190,$I$327*Inputs!$H$189)</f>
      </c>
      <c r="J336" s="20">
        <f>$J$327*Inputs!$I$189</f>
      </c>
    </row>
    <row r="337" spans="2:10" x14ac:dyDescent="0.25">
      <c r="B337" s="2" t="s">
        <v>1255</v>
      </c>
      <c r="C337" s="2" t="s">
        <v>14</v>
      </c>
      <c r="D337" s="20">
        <f>Inputs!$E$57</f>
      </c>
      <c r="E337" s="20">
        <f>$E$332+$E$336-$E$333</f>
      </c>
      <c r="F337" s="20">
        <f>$F$332+$F$336-$F$333</f>
      </c>
      <c r="G337" s="20">
        <f>$G$332+$G$336-$G$333</f>
      </c>
      <c r="H337" s="20">
        <f>$H$332+$H$336-$H$333</f>
      </c>
      <c r="I337" s="20">
        <f>$I$332+$I$336-$I$333</f>
      </c>
      <c r="J337" s="20">
        <f>$J$332+$J$336-$J$333</f>
      </c>
    </row>
    <row r="338" spans="2:10" x14ac:dyDescent="0.25">
      <c r="B338" s="9" t="s">
        <v>1256</v>
      </c>
      <c r="C338" s="2" t="s">
        <v>14</v>
      </c>
      <c r="D338" s="35">
        <f>$D$331-$D$335</f>
      </c>
      <c r="E338" s="35">
        <f>$E$331-$E$335</f>
      </c>
      <c r="F338" s="35">
        <f>$F$331-$F$335</f>
      </c>
      <c r="G338" s="35">
        <f>$G$331-$G$335</f>
      </c>
      <c r="H338" s="35">
        <f>$H$331-$H$335</f>
      </c>
      <c r="I338" s="35">
        <f>$I$331-$I$335</f>
      </c>
      <c r="J338" s="35">
        <f>$J$331-$J$335</f>
      </c>
    </row>
    <row r="339" spans="2:10" x14ac:dyDescent="0.25">
      <c r="B339" s="2" t="s">
        <v>1257</v>
      </c>
      <c r="C339" s="2" t="s">
        <v>54</v>
      </c>
      <c r="D339" s="11">
        <f>Inputs!$D$133</f>
      </c>
      <c r="E339" s="11">
        <f>Inputs!$D$196</f>
      </c>
      <c r="F339" s="11">
        <f>Inputs!$E$196</f>
      </c>
      <c r="G339" s="11">
        <f>Inputs!$F$196</f>
      </c>
      <c r="H339" s="11">
        <f>Inputs!$G$196</f>
      </c>
      <c r="I339" s="11">
        <f>Inputs!$H$196</f>
      </c>
      <c r="J339" s="11">
        <f>Inputs!$I$196</f>
      </c>
    </row>
    <row r="340" spans="2:10" x14ac:dyDescent="0.25">
      <c r="B340" s="2" t="s">
        <v>1258</v>
      </c>
      <c r="C340" s="2" t="s">
        <v>14</v>
      </c>
      <c r="D340" s="20">
        <f>$D$338*$D$339</f>
      </c>
      <c r="E340" s="20">
        <f>$E$338*$E$339</f>
      </c>
      <c r="F340" s="20">
        <f>$F$338*$F$339</f>
      </c>
      <c r="G340" s="20">
        <f>$G$338*$G$339</f>
      </c>
      <c r="H340" s="20">
        <f>$H$338*$H$339</f>
      </c>
      <c r="I340" s="20">
        <f>$I$338*$I$339</f>
      </c>
      <c r="J340" s="20">
        <f>$J$338*$J$339</f>
      </c>
    </row>
    <row r="341" spans="2:10" x14ac:dyDescent="0.25">
      <c r="B341" s="2" t="s">
        <v>1259</v>
      </c>
      <c r="C341" s="2" t="s">
        <v>14</v>
      </c>
      <c r="D341" s="33">
        <f>$D$338-$D$340</f>
      </c>
      <c r="E341" s="33">
        <f>$E$338-$E$340</f>
      </c>
      <c r="F341" s="33">
        <f>$F$338-$F$340</f>
      </c>
      <c r="G341" s="33">
        <f>$G$338-$G$340</f>
      </c>
      <c r="H341" s="33">
        <f>$H$338-$H$340</f>
      </c>
      <c r="I341" s="33">
        <f>$I$338-$I$340</f>
      </c>
      <c r="J341" s="33">
        <f>$J$338-$J$340</f>
      </c>
    </row>
    <row r="342" spans="2:10" x14ac:dyDescent="0.25">
      <c r="B342" s="2" t="s">
        <v>1260</v>
      </c>
      <c r="C342" s="2" t="s">
        <v>14</v>
      </c>
      <c r="D342" s="20">
        <f>$D$327*(1-((Inputs!$E$26+Inputs!$E$51+Inputs!$E$52)/$D$327))</f>
      </c>
      <c r="E342" s="20">
        <f>$E$327*(1-(Inputs!$D$183+$E$326))</f>
      </c>
      <c r="F342" s="20">
        <f>$F$327*(1-(Inputs!$E$183+$E$326))</f>
      </c>
      <c r="G342" s="20">
        <f>$G$327*(1-(Inputs!$F$183+$E$326))</f>
      </c>
      <c r="H342" s="20">
        <f>$H$327*(1-(Inputs!$G$183+$E$326))</f>
      </c>
      <c r="I342" s="20">
        <f>$I$327*(1-(Inputs!$H$183+$E$326))</f>
      </c>
      <c r="J342" s="20">
        <f>$J$327*(1-(Inputs!$I$183+$E$326))</f>
      </c>
    </row>
    <row r="343" spans="2:10" x14ac:dyDescent="0.25">
      <c r="B343" s="2" t="s">
        <v>1261</v>
      </c>
      <c r="C343" s="2" t="s">
        <v>14</v>
      </c>
      <c r="D343" s="20">
        <f>Inputs!$E$67</f>
      </c>
      <c r="E343" s="20">
        <f>$E$327*Inputs!$D$191/Inputs!$D$18</f>
      </c>
      <c r="F343" s="20">
        <f>$F$327*Inputs!$E$191/Inputs!$D$18</f>
      </c>
      <c r="G343" s="20">
        <f>$G$327*Inputs!$F$191/Inputs!$D$18</f>
      </c>
      <c r="H343" s="20">
        <f>$H$327*Inputs!$G$191/Inputs!$D$18</f>
      </c>
      <c r="I343" s="20">
        <f>$I$327*Inputs!$H$191/Inputs!$D$18</f>
      </c>
      <c r="J343" s="20">
        <f>$J$327*Inputs!$I$191/Inputs!$D$18</f>
      </c>
    </row>
    <row r="344" spans="2:10" x14ac:dyDescent="0.25">
      <c r="B344" s="2" t="s">
        <v>1262</v>
      </c>
      <c r="C344" s="2" t="s">
        <v>14</v>
      </c>
      <c r="D344" s="20">
        <f>Inputs!$E$66</f>
      </c>
      <c r="E344" s="20">
        <f>$E$342*Inputs!$D$192/Inputs!$D$18</f>
      </c>
      <c r="F344" s="20">
        <f>$F$342*Inputs!$E$192/Inputs!$D$18</f>
      </c>
      <c r="G344" s="20">
        <f>$G$342*Inputs!$F$192/Inputs!$D$18</f>
      </c>
      <c r="H344" s="20">
        <f>$H$342*Inputs!$G$192/Inputs!$D$18</f>
      </c>
      <c r="I344" s="20">
        <f>$I$342*Inputs!$H$192/Inputs!$D$18</f>
      </c>
      <c r="J344" s="20">
        <f>$J$342*Inputs!$I$192/Inputs!$D$18</f>
      </c>
    </row>
    <row r="345" spans="2:10" x14ac:dyDescent="0.25">
      <c r="B345" s="2" t="s">
        <v>1263</v>
      </c>
      <c r="C345" s="2" t="s">
        <v>14</v>
      </c>
      <c r="D345" s="20">
        <f>Inputs!$E$93</f>
      </c>
      <c r="E345" s="20">
        <f>$E$342*Inputs!$D$193/Inputs!$D$18</f>
      </c>
      <c r="F345" s="20">
        <f>$F$342*Inputs!$E$193/Inputs!$D$18</f>
      </c>
      <c r="G345" s="20">
        <f>$G$342*Inputs!$F$193/Inputs!$D$18</f>
      </c>
      <c r="H345" s="20">
        <f>$H$342*Inputs!$G$193/Inputs!$D$18</f>
      </c>
      <c r="I345" s="20">
        <f>$I$342*Inputs!$H$193/Inputs!$D$18</f>
      </c>
      <c r="J345" s="20">
        <f>$J$342*Inputs!$I$193/Inputs!$D$18</f>
      </c>
    </row>
    <row r="346" spans="2:10" x14ac:dyDescent="0.25">
      <c r="B346" s="2" t="s">
        <v>1264</v>
      </c>
      <c r="C346" s="2" t="s">
        <v>14</v>
      </c>
      <c r="D346" s="20">
        <f>Inputs!$E$70+Inputs!$E$72+Inputs!$E$71</f>
      </c>
      <c r="E346" s="20">
        <f>$E$327*Inputs!$D$194</f>
      </c>
      <c r="F346" s="20">
        <f>$F$327*Inputs!$E$194</f>
      </c>
      <c r="G346" s="20">
        <f>$G$327*Inputs!$F$194</f>
      </c>
      <c r="H346" s="20">
        <f>$H$327*Inputs!$G$194</f>
      </c>
      <c r="I346" s="20">
        <f>$I$327*Inputs!$H$194</f>
      </c>
      <c r="J346" s="20">
        <f>$J$327*Inputs!$I$194</f>
      </c>
    </row>
    <row r="347" spans="2:10" x14ac:dyDescent="0.25">
      <c r="B347" s="2" t="s">
        <v>1265</v>
      </c>
      <c r="C347" s="2" t="s">
        <v>14</v>
      </c>
      <c r="D347" s="20">
        <f>Inputs!$E$94+Inputs!$E$95+Inputs!$E$97+Inputs!$E$98+Inputs!$E$99</f>
      </c>
      <c r="E347" s="20">
        <f>$E$327*Inputs!$D$195</f>
      </c>
      <c r="F347" s="20">
        <f>$F$327*Inputs!$E$195</f>
      </c>
      <c r="G347" s="20">
        <f>$G$327*Inputs!$F$195</f>
      </c>
      <c r="H347" s="20">
        <f>$H$327*Inputs!$G$195</f>
      </c>
      <c r="I347" s="20">
        <f>$I$327*Inputs!$H$195</f>
      </c>
      <c r="J347" s="20">
        <f>$J$327*Inputs!$I$195</f>
      </c>
    </row>
    <row r="348" spans="2:10" x14ac:dyDescent="0.25">
      <c r="B348" s="2" t="s">
        <v>1266</v>
      </c>
      <c r="C348" s="2" t="s">
        <v>14</v>
      </c>
      <c r="D348" s="33">
        <f>$D$343+$D$344+$D$346-$D$345-$D$347</f>
      </c>
      <c r="E348" s="33">
        <f>$E$343+$E$344+$E$346-$E$345-$E$347</f>
      </c>
      <c r="F348" s="33">
        <f>$F$343+$F$344+$F$346-$F$345-$F$347</f>
      </c>
      <c r="G348" s="33">
        <f>$G$343+$G$344+$G$346-$G$345-$G$347</f>
      </c>
      <c r="H348" s="33">
        <f>$H$343+$H$344+$H$346-$H$345-$H$347</f>
      </c>
      <c r="I348" s="33">
        <f>$I$343+$I$344+$I$346-$I$345-$I$347</f>
      </c>
      <c r="J348" s="33">
        <f>$J$343+$J$344+$J$346-$J$345-$J$347</f>
      </c>
    </row>
    <row r="349" spans="2:10" x14ac:dyDescent="0.25">
      <c r="B349" s="2" t="s">
        <v>1267</v>
      </c>
      <c r="C349" s="2" t="s">
        <v>14</v>
      </c>
      <c r="E349" s="20">
        <f>$E$348-$D$348</f>
      </c>
      <c r="F349" s="20">
        <f>$F$348-$E$348</f>
      </c>
      <c r="G349" s="20">
        <f>$G$348-$F$348</f>
      </c>
      <c r="H349" s="20">
        <f>$H$348-$G$348</f>
      </c>
      <c r="I349" s="20">
        <f>$I$348-$H$348</f>
      </c>
      <c r="J349" s="20">
        <f>$J$348-$I$348</f>
      </c>
    </row>
    <row r="350" spans="2:10" x14ac:dyDescent="0.25">
      <c r="B350" s="2" t="s">
        <v>1268</v>
      </c>
      <c r="C350" s="2" t="s">
        <v>14</v>
      </c>
      <c r="D350" s="20">
        <f>Inputs!$E$49</f>
      </c>
      <c r="E350" s="20">
        <f>$E$341+Inputs!$D$202*(1-$E$339)</f>
      </c>
      <c r="F350" s="20">
        <f>$F$341+Inputs!$D$202*(1-$F$339)</f>
      </c>
      <c r="G350" s="20">
        <f>$G$341+Inputs!$D$202*(1-$G$339)</f>
      </c>
      <c r="H350" s="20">
        <f>$H$341+Inputs!$D$202*(1-$H$339)</f>
      </c>
      <c r="I350" s="20">
        <f>$I$341+Inputs!$D$202*(1-$I$339)</f>
      </c>
      <c r="J350" s="20">
        <f>$J$341+Inputs!$D$202*(1-$J$339)</f>
      </c>
    </row>
    <row r="351" spans="2:10" x14ac:dyDescent="0.25">
      <c r="B351" s="2" t="s">
        <v>1269</v>
      </c>
      <c r="C351" s="2" t="s">
        <v>14</v>
      </c>
      <c r="E351" s="20">
        <f>IF(Inputs!$D$200=1,Inputs!$D$201*$D$350,0)</f>
      </c>
      <c r="F351" s="20">
        <f>IF(Inputs!$D$200=1,Inputs!$D$201*$E$350,0)</f>
      </c>
      <c r="G351" s="20">
        <f>IF(Inputs!$D$200=1,Inputs!$D$201*$F$350,0)</f>
      </c>
      <c r="H351" s="20">
        <f>IF(Inputs!$D$200=1,Inputs!$D$201*$G$350,0)</f>
      </c>
      <c r="I351" s="20">
        <f>IF(Inputs!$D$200=1,Inputs!$D$201*$H$350,0)</f>
      </c>
      <c r="J351" s="20">
        <f>IF(Inputs!$D$200=1,Inputs!$D$201*$I$350,0)</f>
      </c>
    </row>
    <row r="352" spans="2:10" x14ac:dyDescent="0.25">
      <c r="B352" s="9" t="s">
        <v>1270</v>
      </c>
      <c r="C352" s="2" t="s">
        <v>14</v>
      </c>
      <c r="E352" s="34">
        <f>$E$341+$E$335-$E$336-$E$349-$E$351</f>
      </c>
      <c r="F352" s="34">
        <f>$F$341+$F$335-$F$336-$F$349-$F$351</f>
      </c>
      <c r="G352" s="34">
        <f>$G$341+$G$335-$G$336-$G$349-$G$351</f>
      </c>
      <c r="H352" s="34">
        <f>$H$341+$H$335-$H$336-$H$349-$H$351</f>
      </c>
      <c r="I352" s="34">
        <f>$I$341+$I$335-$I$336-$I$349-$I$351</f>
      </c>
      <c r="J352" s="34">
        <f>$J$341+$J$335-$J$336-$J$349-$J$351</f>
      </c>
    </row>
    <row r="353" spans="2:9" x14ac:dyDescent="0.25">
      <c r="B353" s="2" t="s">
        <v>1271</v>
      </c>
      <c r="C353" s="2" t="s">
        <v>14</v>
      </c>
      <c r="E353" s="20">
        <f>$E$352*DCF!$D$10*(1+WACC!$D$54)^(-DCF!$D$12)</f>
      </c>
      <c r="F353" s="20">
        <f>$F$352*DCF!$E$10*(1+WACC!$D$54)^(-DCF!$E$12)</f>
      </c>
      <c r="G353" s="20">
        <f>$G$352*DCF!$F$10*(1+WACC!$D$54)^(-DCF!$F$12)</f>
      </c>
      <c r="H353" s="20">
        <f>$H$352*DCF!$G$10*(1+WACC!$D$54)^(-DCF!$G$12)</f>
      </c>
      <c r="I353" s="20">
        <f>$I$352*DCF!$H$10*(1+WACC!$D$54)^(-DCF!$H$12)</f>
      </c>
    </row>
    <row r="354" spans="2:4" x14ac:dyDescent="0.25">
      <c r="B354" s="2" t="s">
        <v>1272</v>
      </c>
      <c r="C354" s="2" t="s">
        <v>14</v>
      </c>
      <c r="D354" s="20">
        <f>SUM($E$353:$I$353)</f>
      </c>
    </row>
    <row r="355" spans="2:4" x14ac:dyDescent="0.25">
      <c r="B355" s="2" t="s">
        <v>1273</v>
      </c>
      <c r="C355" s="2" t="s">
        <v>14</v>
      </c>
      <c r="D355" s="20">
        <f>IF(Inputs!$D$171="gordon",IF(Inputs!$D$172&lt;WACC!$D$54,$J$352/(WACC!$D$54-Inputs!$D$172),"n/a"),$I$331*Inputs!$D$173)</f>
      </c>
    </row>
    <row r="356" spans="2:4" x14ac:dyDescent="0.25">
      <c r="B356" s="2" t="s">
        <v>1274</v>
      </c>
      <c r="C356" s="2" t="s">
        <v>14</v>
      </c>
      <c r="D356" s="33">
        <f>IFERROR($D$354+$D$355*(1+WACC!$D$54)^(-DCF!$D$21),"n/a")</f>
      </c>
    </row>
    <row r="357" spans="2:4" x14ac:dyDescent="0.25">
      <c r="B357" s="2" t="s">
        <v>1275</v>
      </c>
      <c r="C357" s="2" t="s">
        <v>14</v>
      </c>
      <c r="D357" s="20">
        <f>IFERROR($D$356+DCF!$D$51,"n/a")</f>
      </c>
    </row>
    <row r="358" spans="2:4" x14ac:dyDescent="0.25">
      <c r="B358" s="9" t="s">
        <v>1276</v>
      </c>
      <c r="C358" s="2" t="s">
        <v>14</v>
      </c>
      <c r="D358" s="40">
        <f>IFERROR($D$357/Inputs!$D$15,"n/a")</f>
      </c>
    </row>
    <row r="360" spans="2:5" x14ac:dyDescent="0.25">
      <c r="B360" s="2" t="s">
        <v>1277</v>
      </c>
      <c r="C360" s="2" t="s">
        <v>326</v>
      </c>
      <c r="D360" s="15">
        <f>Inputs!$E$237*Inputs!$D$233</f>
      </c>
      <c r="E360" s="15">
        <f>Inputs!$H$237*Inputs!$D$234</f>
      </c>
    </row>
    <row r="361" spans="2:10" x14ac:dyDescent="0.25">
      <c r="B361" s="9" t="s">
        <v>1278</v>
      </c>
      <c r="C361" s="2" t="s">
        <v>14</v>
      </c>
      <c r="D361" s="35">
        <f>Inputs!$E$23</f>
      </c>
      <c r="E361" s="35">
        <f>$D$361*(1+(Inputs!$D$182+$D$360))</f>
      </c>
      <c r="F361" s="35">
        <f>$E$361*(1+(Inputs!$E$182+$D$360))</f>
      </c>
      <c r="G361" s="35">
        <f>$F$361*(1+(Inputs!$F$182+$D$360))</f>
      </c>
      <c r="H361" s="35">
        <f>$G$361*(1+(Inputs!$G$182+$D$360))</f>
      </c>
      <c r="I361" s="35">
        <f>$H$361*(1+(Inputs!$H$182+$D$360))</f>
      </c>
      <c r="J361" s="35">
        <f>$I$361*(1+Inputs!$D$172)</f>
      </c>
    </row>
    <row r="362" spans="2:10" x14ac:dyDescent="0.25">
      <c r="B362" s="2" t="s">
        <v>1279</v>
      </c>
      <c r="C362" s="2" t="s">
        <v>14</v>
      </c>
      <c r="D362" s="20">
        <f>$D$361*((Inputs!$E$26+Inputs!$E$51+Inputs!$E$52)/$D$361)</f>
      </c>
      <c r="E362" s="20">
        <f>$E$361*(Inputs!$D$183+$E$360)</f>
      </c>
      <c r="F362" s="20">
        <f>$F$361*(Inputs!$E$183+$E$360)</f>
      </c>
      <c r="G362" s="20">
        <f>$G$361*(Inputs!$F$183+$E$360)</f>
      </c>
      <c r="H362" s="20">
        <f>$H$361*(Inputs!$G$183+$E$360)</f>
      </c>
      <c r="I362" s="20">
        <f>$I$361*(Inputs!$H$183+$E$360)</f>
      </c>
      <c r="J362" s="20">
        <f>$J$361*(Inputs!$I$183+$E$360)</f>
      </c>
    </row>
    <row r="363" spans="2:10" x14ac:dyDescent="0.25">
      <c r="B363" s="2" t="s">
        <v>1280</v>
      </c>
      <c r="C363" s="2" t="s">
        <v>14</v>
      </c>
      <c r="D363" s="20">
        <f>-(Inputs!$E$29+Inputs!$E$30)</f>
      </c>
      <c r="E363" s="20">
        <f>$E$361*Inputs!$D$184</f>
      </c>
      <c r="F363" s="20">
        <f>$F$361*Inputs!$E$184</f>
      </c>
      <c r="G363" s="20">
        <f>$G$361*Inputs!$F$184</f>
      </c>
      <c r="H363" s="20">
        <f>$H$361*Inputs!$G$184</f>
      </c>
      <c r="I363" s="20">
        <f>$I$361*Inputs!$H$184</f>
      </c>
      <c r="J363" s="20">
        <f>$J$361*Inputs!$I$184</f>
      </c>
    </row>
    <row r="364" spans="2:10" x14ac:dyDescent="0.25">
      <c r="B364" s="2" t="s">
        <v>1281</v>
      </c>
      <c r="C364" s="2" t="s">
        <v>14</v>
      </c>
      <c r="D364" s="20">
        <f>Normalization!$D$13-Inputs!$E$26-Inputs!$E$29-Inputs!$E$30</f>
      </c>
      <c r="E364" s="20">
        <f>$E$361*Inputs!$D$185</f>
      </c>
      <c r="F364" s="20">
        <f>$F$361*Inputs!$E$185</f>
      </c>
      <c r="G364" s="20">
        <f>$G$361*Inputs!$F$185</f>
      </c>
      <c r="H364" s="20">
        <f>$H$361*Inputs!$G$185</f>
      </c>
      <c r="I364" s="20">
        <f>$I$361*Inputs!$H$185</f>
      </c>
      <c r="J364" s="20">
        <f>$J$361*Inputs!$I$185</f>
      </c>
    </row>
    <row r="365" spans="2:10" x14ac:dyDescent="0.25">
      <c r="B365" s="9" t="s">
        <v>1282</v>
      </c>
      <c r="C365" s="2" t="s">
        <v>14</v>
      </c>
      <c r="D365" s="34">
        <f>$D$362-$D$363+$D$364</f>
      </c>
      <c r="E365" s="34">
        <f>$E$362-$E$363+$E$364</f>
      </c>
      <c r="F365" s="34">
        <f>$F$362-$F$363+$F$364</f>
      </c>
      <c r="G365" s="34">
        <f>$G$362-$G$363+$G$364</f>
      </c>
      <c r="H365" s="34">
        <f>$H$362-$H$363+$H$364</f>
      </c>
      <c r="I365" s="34">
        <f>$I$362-$I$363+$I$364</f>
      </c>
      <c r="J365" s="34">
        <f>$J$362-$J$363+$J$364</f>
      </c>
    </row>
    <row r="366" spans="2:10" x14ac:dyDescent="0.25">
      <c r="B366" s="2" t="s">
        <v>1283</v>
      </c>
      <c r="C366" s="2" t="s">
        <v>14</v>
      </c>
      <c r="E366" s="20">
        <f>Inputs!$E$57</f>
      </c>
      <c r="F366" s="20">
        <f>$E$371</f>
      </c>
      <c r="G366" s="20">
        <f>$F$371</f>
      </c>
      <c r="H366" s="20">
        <f>$G$371</f>
      </c>
      <c r="I366" s="20">
        <f>$H$371</f>
      </c>
      <c r="J366" s="20">
        <f>$I$371</f>
      </c>
    </row>
    <row r="367" spans="2:10" x14ac:dyDescent="0.25">
      <c r="B367" s="2" t="s">
        <v>1284</v>
      </c>
      <c r="C367" s="2" t="s">
        <v>14</v>
      </c>
      <c r="D367" s="20">
        <f>Inputs!$E$51</f>
      </c>
      <c r="E367" s="20">
        <f>IF(Inputs!$D$180="ppe_rollforward",Inputs!$D$187*$E$366,$E$361*Inputs!$D$186)</f>
      </c>
      <c r="F367" s="20">
        <f>IF(Inputs!$D$180="ppe_rollforward",Inputs!$E$187*$F$366,$F$361*Inputs!$E$186)</f>
      </c>
      <c r="G367" s="20">
        <f>IF(Inputs!$D$180="ppe_rollforward",Inputs!$F$187*$G$366,$G$361*Inputs!$F$186)</f>
      </c>
      <c r="H367" s="20">
        <f>IF(Inputs!$D$180="ppe_rollforward",Inputs!$G$187*$H$366,$H$361*Inputs!$G$186)</f>
      </c>
      <c r="I367" s="20">
        <f>IF(Inputs!$D$180="ppe_rollforward",Inputs!$H$187*$I$366,$I$361*Inputs!$H$186)</f>
      </c>
      <c r="J367" s="20">
        <f>IF(Inputs!$D$180="ppe_rollforward",Inputs!$I$187*$J$366,$J$361*Inputs!$I$186)</f>
      </c>
    </row>
    <row r="368" spans="2:10" x14ac:dyDescent="0.25">
      <c r="B368" s="2" t="s">
        <v>1285</v>
      </c>
      <c r="C368" s="2" t="s">
        <v>14</v>
      </c>
      <c r="D368" s="20">
        <f>Inputs!$E$52</f>
      </c>
      <c r="E368" s="20">
        <f>IF(Inputs!$D$180="ppe_rollforward",$E$361*Inputs!$D$188,0)</f>
      </c>
      <c r="F368" s="20">
        <f>IF(Inputs!$D$180="ppe_rollforward",$F$361*Inputs!$E$188,0)</f>
      </c>
      <c r="G368" s="20">
        <f>IF(Inputs!$D$180="ppe_rollforward",$G$361*Inputs!$F$188,0)</f>
      </c>
      <c r="H368" s="20">
        <f>IF(Inputs!$D$180="ppe_rollforward",$H$361*Inputs!$G$188,0)</f>
      </c>
      <c r="I368" s="20">
        <f>IF(Inputs!$D$180="ppe_rollforward",$I$361*Inputs!$H$188,0)</f>
      </c>
      <c r="J368" s="20">
        <f>IF(Inputs!$D$180="ppe_rollforward",$J$361*Inputs!$I$188,0)</f>
      </c>
    </row>
    <row r="369" spans="2:10" x14ac:dyDescent="0.25">
      <c r="B369" s="2" t="s">
        <v>1286</v>
      </c>
      <c r="C369" s="2" t="s">
        <v>14</v>
      </c>
      <c r="D369" s="20">
        <f>$D$367+$D$368</f>
      </c>
      <c r="E369" s="20">
        <f>$E$367+$E$368</f>
      </c>
      <c r="F369" s="20">
        <f>$F$367+$F$368</f>
      </c>
      <c r="G369" s="20">
        <f>$G$367+$G$368</f>
      </c>
      <c r="H369" s="20">
        <f>$H$367+$H$368</f>
      </c>
      <c r="I369" s="20">
        <f>$I$367+$I$368</f>
      </c>
      <c r="J369" s="20">
        <f>$J$367+$J$368</f>
      </c>
    </row>
    <row r="370" spans="2:10" x14ac:dyDescent="0.25">
      <c r="B370" s="2" t="s">
        <v>1287</v>
      </c>
      <c r="C370" s="2" t="s">
        <v>14</v>
      </c>
      <c r="D370" s="20">
        <f>-Inputs!$E$111</f>
      </c>
      <c r="E370" s="20">
        <f>IF(Inputs!$D$181="absolute",Inputs!$D$190,$E$361*Inputs!$D$189)</f>
      </c>
      <c r="F370" s="20">
        <f>IF(Inputs!$D$181="absolute",Inputs!$E$190,$F$361*Inputs!$E$189)</f>
      </c>
      <c r="G370" s="20">
        <f>IF(Inputs!$D$181="absolute",Inputs!$F$190,$G$361*Inputs!$F$189)</f>
      </c>
      <c r="H370" s="20">
        <f>IF(Inputs!$D$181="absolute",Inputs!$G$190,$H$361*Inputs!$G$189)</f>
      </c>
      <c r="I370" s="20">
        <f>IF(Inputs!$D$181="absolute",Inputs!$H$190,$I$361*Inputs!$H$189)</f>
      </c>
      <c r="J370" s="20">
        <f>$J$361*Inputs!$I$189</f>
      </c>
    </row>
    <row r="371" spans="2:10" x14ac:dyDescent="0.25">
      <c r="B371" s="2" t="s">
        <v>1288</v>
      </c>
      <c r="C371" s="2" t="s">
        <v>14</v>
      </c>
      <c r="D371" s="20">
        <f>Inputs!$E$57</f>
      </c>
      <c r="E371" s="20">
        <f>$E$366+$E$370-$E$367</f>
      </c>
      <c r="F371" s="20">
        <f>$F$366+$F$370-$F$367</f>
      </c>
      <c r="G371" s="20">
        <f>$G$366+$G$370-$G$367</f>
      </c>
      <c r="H371" s="20">
        <f>$H$366+$H$370-$H$367</f>
      </c>
      <c r="I371" s="20">
        <f>$I$366+$I$370-$I$367</f>
      </c>
      <c r="J371" s="20">
        <f>$J$366+$J$370-$J$367</f>
      </c>
    </row>
    <row r="372" spans="2:10" x14ac:dyDescent="0.25">
      <c r="B372" s="9" t="s">
        <v>1289</v>
      </c>
      <c r="C372" s="2" t="s">
        <v>14</v>
      </c>
      <c r="D372" s="35">
        <f>$D$365-$D$369</f>
      </c>
      <c r="E372" s="35">
        <f>$E$365-$E$369</f>
      </c>
      <c r="F372" s="35">
        <f>$F$365-$F$369</f>
      </c>
      <c r="G372" s="35">
        <f>$G$365-$G$369</f>
      </c>
      <c r="H372" s="35">
        <f>$H$365-$H$369</f>
      </c>
      <c r="I372" s="35">
        <f>$I$365-$I$369</f>
      </c>
      <c r="J372" s="35">
        <f>$J$365-$J$369</f>
      </c>
    </row>
    <row r="373" spans="2:10" x14ac:dyDescent="0.25">
      <c r="B373" s="2" t="s">
        <v>1290</v>
      </c>
      <c r="C373" s="2" t="s">
        <v>54</v>
      </c>
      <c r="D373" s="11">
        <f>Inputs!$D$133</f>
      </c>
      <c r="E373" s="11">
        <f>Inputs!$D$196</f>
      </c>
      <c r="F373" s="11">
        <f>Inputs!$E$196</f>
      </c>
      <c r="G373" s="11">
        <f>Inputs!$F$196</f>
      </c>
      <c r="H373" s="11">
        <f>Inputs!$G$196</f>
      </c>
      <c r="I373" s="11">
        <f>Inputs!$H$196</f>
      </c>
      <c r="J373" s="11">
        <f>Inputs!$I$196</f>
      </c>
    </row>
    <row r="374" spans="2:10" x14ac:dyDescent="0.25">
      <c r="B374" s="2" t="s">
        <v>1291</v>
      </c>
      <c r="C374" s="2" t="s">
        <v>14</v>
      </c>
      <c r="D374" s="20">
        <f>$D$372*$D$373</f>
      </c>
      <c r="E374" s="20">
        <f>$E$372*$E$373</f>
      </c>
      <c r="F374" s="20">
        <f>$F$372*$F$373</f>
      </c>
      <c r="G374" s="20">
        <f>$G$372*$G$373</f>
      </c>
      <c r="H374" s="20">
        <f>$H$372*$H$373</f>
      </c>
      <c r="I374" s="20">
        <f>$I$372*$I$373</f>
      </c>
      <c r="J374" s="20">
        <f>$J$372*$J$373</f>
      </c>
    </row>
    <row r="375" spans="2:10" x14ac:dyDescent="0.25">
      <c r="B375" s="2" t="s">
        <v>1292</v>
      </c>
      <c r="C375" s="2" t="s">
        <v>14</v>
      </c>
      <c r="D375" s="33">
        <f>$D$372-$D$374</f>
      </c>
      <c r="E375" s="33">
        <f>$E$372-$E$374</f>
      </c>
      <c r="F375" s="33">
        <f>$F$372-$F$374</f>
      </c>
      <c r="G375" s="33">
        <f>$G$372-$G$374</f>
      </c>
      <c r="H375" s="33">
        <f>$H$372-$H$374</f>
      </c>
      <c r="I375" s="33">
        <f>$I$372-$I$374</f>
      </c>
      <c r="J375" s="33">
        <f>$J$372-$J$374</f>
      </c>
    </row>
    <row r="376" spans="2:10" x14ac:dyDescent="0.25">
      <c r="B376" s="2" t="s">
        <v>1293</v>
      </c>
      <c r="C376" s="2" t="s">
        <v>14</v>
      </c>
      <c r="D376" s="20">
        <f>$D$361*(1-((Inputs!$E$26+Inputs!$E$51+Inputs!$E$52)/$D$361))</f>
      </c>
      <c r="E376" s="20">
        <f>$E$361*(1-(Inputs!$D$183+$E$360))</f>
      </c>
      <c r="F376" s="20">
        <f>$F$361*(1-(Inputs!$E$183+$E$360))</f>
      </c>
      <c r="G376" s="20">
        <f>$G$361*(1-(Inputs!$F$183+$E$360))</f>
      </c>
      <c r="H376" s="20">
        <f>$H$361*(1-(Inputs!$G$183+$E$360))</f>
      </c>
      <c r="I376" s="20">
        <f>$I$361*(1-(Inputs!$H$183+$E$360))</f>
      </c>
      <c r="J376" s="20">
        <f>$J$361*(1-(Inputs!$I$183+$E$360))</f>
      </c>
    </row>
    <row r="377" spans="2:10" x14ac:dyDescent="0.25">
      <c r="B377" s="2" t="s">
        <v>1294</v>
      </c>
      <c r="C377" s="2" t="s">
        <v>14</v>
      </c>
      <c r="D377" s="20">
        <f>Inputs!$E$67</f>
      </c>
      <c r="E377" s="20">
        <f>$E$361*Inputs!$D$191/Inputs!$D$18</f>
      </c>
      <c r="F377" s="20">
        <f>$F$361*Inputs!$E$191/Inputs!$D$18</f>
      </c>
      <c r="G377" s="20">
        <f>$G$361*Inputs!$F$191/Inputs!$D$18</f>
      </c>
      <c r="H377" s="20">
        <f>$H$361*Inputs!$G$191/Inputs!$D$18</f>
      </c>
      <c r="I377" s="20">
        <f>$I$361*Inputs!$H$191/Inputs!$D$18</f>
      </c>
      <c r="J377" s="20">
        <f>$J$361*Inputs!$I$191/Inputs!$D$18</f>
      </c>
    </row>
    <row r="378" spans="2:10" x14ac:dyDescent="0.25">
      <c r="B378" s="2" t="s">
        <v>1295</v>
      </c>
      <c r="C378" s="2" t="s">
        <v>14</v>
      </c>
      <c r="D378" s="20">
        <f>Inputs!$E$66</f>
      </c>
      <c r="E378" s="20">
        <f>$E$376*Inputs!$D$192/Inputs!$D$18</f>
      </c>
      <c r="F378" s="20">
        <f>$F$376*Inputs!$E$192/Inputs!$D$18</f>
      </c>
      <c r="G378" s="20">
        <f>$G$376*Inputs!$F$192/Inputs!$D$18</f>
      </c>
      <c r="H378" s="20">
        <f>$H$376*Inputs!$G$192/Inputs!$D$18</f>
      </c>
      <c r="I378" s="20">
        <f>$I$376*Inputs!$H$192/Inputs!$D$18</f>
      </c>
      <c r="J378" s="20">
        <f>$J$376*Inputs!$I$192/Inputs!$D$18</f>
      </c>
    </row>
    <row r="379" spans="2:10" x14ac:dyDescent="0.25">
      <c r="B379" s="2" t="s">
        <v>1296</v>
      </c>
      <c r="C379" s="2" t="s">
        <v>14</v>
      </c>
      <c r="D379" s="20">
        <f>Inputs!$E$93</f>
      </c>
      <c r="E379" s="20">
        <f>$E$376*Inputs!$D$193/Inputs!$D$18</f>
      </c>
      <c r="F379" s="20">
        <f>$F$376*Inputs!$E$193/Inputs!$D$18</f>
      </c>
      <c r="G379" s="20">
        <f>$G$376*Inputs!$F$193/Inputs!$D$18</f>
      </c>
      <c r="H379" s="20">
        <f>$H$376*Inputs!$G$193/Inputs!$D$18</f>
      </c>
      <c r="I379" s="20">
        <f>$I$376*Inputs!$H$193/Inputs!$D$18</f>
      </c>
      <c r="J379" s="20">
        <f>$J$376*Inputs!$I$193/Inputs!$D$18</f>
      </c>
    </row>
    <row r="380" spans="2:10" x14ac:dyDescent="0.25">
      <c r="B380" s="2" t="s">
        <v>1297</v>
      </c>
      <c r="C380" s="2" t="s">
        <v>14</v>
      </c>
      <c r="D380" s="20">
        <f>Inputs!$E$70+Inputs!$E$72+Inputs!$E$71</f>
      </c>
      <c r="E380" s="20">
        <f>$E$361*Inputs!$D$194</f>
      </c>
      <c r="F380" s="20">
        <f>$F$361*Inputs!$E$194</f>
      </c>
      <c r="G380" s="20">
        <f>$G$361*Inputs!$F$194</f>
      </c>
      <c r="H380" s="20">
        <f>$H$361*Inputs!$G$194</f>
      </c>
      <c r="I380" s="20">
        <f>$I$361*Inputs!$H$194</f>
      </c>
      <c r="J380" s="20">
        <f>$J$361*Inputs!$I$194</f>
      </c>
    </row>
    <row r="381" spans="2:10" x14ac:dyDescent="0.25">
      <c r="B381" s="2" t="s">
        <v>1298</v>
      </c>
      <c r="C381" s="2" t="s">
        <v>14</v>
      </c>
      <c r="D381" s="20">
        <f>Inputs!$E$94+Inputs!$E$95+Inputs!$E$97+Inputs!$E$98+Inputs!$E$99</f>
      </c>
      <c r="E381" s="20">
        <f>$E$361*Inputs!$D$195</f>
      </c>
      <c r="F381" s="20">
        <f>$F$361*Inputs!$E$195</f>
      </c>
      <c r="G381" s="20">
        <f>$G$361*Inputs!$F$195</f>
      </c>
      <c r="H381" s="20">
        <f>$H$361*Inputs!$G$195</f>
      </c>
      <c r="I381" s="20">
        <f>$I$361*Inputs!$H$195</f>
      </c>
      <c r="J381" s="20">
        <f>$J$361*Inputs!$I$195</f>
      </c>
    </row>
    <row r="382" spans="2:10" x14ac:dyDescent="0.25">
      <c r="B382" s="2" t="s">
        <v>1299</v>
      </c>
      <c r="C382" s="2" t="s">
        <v>14</v>
      </c>
      <c r="D382" s="33">
        <f>$D$377+$D$378+$D$380-$D$379-$D$381</f>
      </c>
      <c r="E382" s="33">
        <f>$E$377+$E$378+$E$380-$E$379-$E$381</f>
      </c>
      <c r="F382" s="33">
        <f>$F$377+$F$378+$F$380-$F$379-$F$381</f>
      </c>
      <c r="G382" s="33">
        <f>$G$377+$G$378+$G$380-$G$379-$G$381</f>
      </c>
      <c r="H382" s="33">
        <f>$H$377+$H$378+$H$380-$H$379-$H$381</f>
      </c>
      <c r="I382" s="33">
        <f>$I$377+$I$378+$I$380-$I$379-$I$381</f>
      </c>
      <c r="J382" s="33">
        <f>$J$377+$J$378+$J$380-$J$379-$J$381</f>
      </c>
    </row>
    <row r="383" spans="2:10" x14ac:dyDescent="0.25">
      <c r="B383" s="2" t="s">
        <v>1300</v>
      </c>
      <c r="C383" s="2" t="s">
        <v>14</v>
      </c>
      <c r="E383" s="20">
        <f>$E$382-$D$382</f>
      </c>
      <c r="F383" s="20">
        <f>$F$382-$E$382</f>
      </c>
      <c r="G383" s="20">
        <f>$G$382-$F$382</f>
      </c>
      <c r="H383" s="20">
        <f>$H$382-$G$382</f>
      </c>
      <c r="I383" s="20">
        <f>$I$382-$H$382</f>
      </c>
      <c r="J383" s="20">
        <f>$J$382-$I$382</f>
      </c>
    </row>
    <row r="384" spans="2:10" x14ac:dyDescent="0.25">
      <c r="B384" s="2" t="s">
        <v>1301</v>
      </c>
      <c r="C384" s="2" t="s">
        <v>14</v>
      </c>
      <c r="D384" s="20">
        <f>Inputs!$E$49</f>
      </c>
      <c r="E384" s="20">
        <f>$E$375+Inputs!$D$202*(1-$E$373)</f>
      </c>
      <c r="F384" s="20">
        <f>$F$375+Inputs!$D$202*(1-$F$373)</f>
      </c>
      <c r="G384" s="20">
        <f>$G$375+Inputs!$D$202*(1-$G$373)</f>
      </c>
      <c r="H384" s="20">
        <f>$H$375+Inputs!$D$202*(1-$H$373)</f>
      </c>
      <c r="I384" s="20">
        <f>$I$375+Inputs!$D$202*(1-$I$373)</f>
      </c>
      <c r="J384" s="20">
        <f>$J$375+Inputs!$D$202*(1-$J$373)</f>
      </c>
    </row>
    <row r="385" spans="2:10" x14ac:dyDescent="0.25">
      <c r="B385" s="2" t="s">
        <v>1302</v>
      </c>
      <c r="C385" s="2" t="s">
        <v>14</v>
      </c>
      <c r="E385" s="20">
        <f>IF(Inputs!$D$200=1,Inputs!$D$201*$D$384,0)</f>
      </c>
      <c r="F385" s="20">
        <f>IF(Inputs!$D$200=1,Inputs!$D$201*$E$384,0)</f>
      </c>
      <c r="G385" s="20">
        <f>IF(Inputs!$D$200=1,Inputs!$D$201*$F$384,0)</f>
      </c>
      <c r="H385" s="20">
        <f>IF(Inputs!$D$200=1,Inputs!$D$201*$G$384,0)</f>
      </c>
      <c r="I385" s="20">
        <f>IF(Inputs!$D$200=1,Inputs!$D$201*$H$384,0)</f>
      </c>
      <c r="J385" s="20">
        <f>IF(Inputs!$D$200=1,Inputs!$D$201*$I$384,0)</f>
      </c>
    </row>
    <row r="386" spans="2:10" x14ac:dyDescent="0.25">
      <c r="B386" s="9" t="s">
        <v>1303</v>
      </c>
      <c r="C386" s="2" t="s">
        <v>14</v>
      </c>
      <c r="E386" s="34">
        <f>$E$375+$E$369-$E$370-$E$383-$E$385</f>
      </c>
      <c r="F386" s="34">
        <f>$F$375+$F$369-$F$370-$F$383-$F$385</f>
      </c>
      <c r="G386" s="34">
        <f>$G$375+$G$369-$G$370-$G$383-$G$385</f>
      </c>
      <c r="H386" s="34">
        <f>$H$375+$H$369-$H$370-$H$383-$H$385</f>
      </c>
      <c r="I386" s="34">
        <f>$I$375+$I$369-$I$370-$I$383-$I$385</f>
      </c>
      <c r="J386" s="34">
        <f>$J$375+$J$369-$J$370-$J$383-$J$385</f>
      </c>
    </row>
    <row r="387" spans="2:9" x14ac:dyDescent="0.25">
      <c r="B387" s="2" t="s">
        <v>1304</v>
      </c>
      <c r="C387" s="2" t="s">
        <v>14</v>
      </c>
      <c r="E387" s="20">
        <f>$E$386*DCF!$D$10*(1+WACC!$D$54)^(-DCF!$D$12)</f>
      </c>
      <c r="F387" s="20">
        <f>$F$386*DCF!$E$10*(1+WACC!$D$54)^(-DCF!$E$12)</f>
      </c>
      <c r="G387" s="20">
        <f>$G$386*DCF!$F$10*(1+WACC!$D$54)^(-DCF!$F$12)</f>
      </c>
      <c r="H387" s="20">
        <f>$H$386*DCF!$G$10*(1+WACC!$D$54)^(-DCF!$G$12)</f>
      </c>
      <c r="I387" s="20">
        <f>$I$386*DCF!$H$10*(1+WACC!$D$54)^(-DCF!$H$12)</f>
      </c>
    </row>
    <row r="388" spans="2:4" x14ac:dyDescent="0.25">
      <c r="B388" s="2" t="s">
        <v>1305</v>
      </c>
      <c r="C388" s="2" t="s">
        <v>14</v>
      </c>
      <c r="D388" s="20">
        <f>SUM($E$387:$I$387)</f>
      </c>
    </row>
    <row r="389" spans="2:4" x14ac:dyDescent="0.25">
      <c r="B389" s="2" t="s">
        <v>1306</v>
      </c>
      <c r="C389" s="2" t="s">
        <v>14</v>
      </c>
      <c r="D389" s="20">
        <f>IF(Inputs!$D$171="gordon",IF(Inputs!$D$172&lt;WACC!$D$54,$J$386/(WACC!$D$54-Inputs!$D$172),"n/a"),$I$365*Inputs!$D$173)</f>
      </c>
    </row>
    <row r="390" spans="2:4" x14ac:dyDescent="0.25">
      <c r="B390" s="2" t="s">
        <v>1307</v>
      </c>
      <c r="C390" s="2" t="s">
        <v>14</v>
      </c>
      <c r="D390" s="33">
        <f>IFERROR($D$388+$D$389*(1+WACC!$D$54)^(-DCF!$D$21),"n/a")</f>
      </c>
    </row>
    <row r="391" spans="2:4" x14ac:dyDescent="0.25">
      <c r="B391" s="2" t="s">
        <v>1308</v>
      </c>
      <c r="C391" s="2" t="s">
        <v>14</v>
      </c>
      <c r="D391" s="20">
        <f>IFERROR($D$390+DCF!$D$51,"n/a")</f>
      </c>
    </row>
    <row r="392" spans="2:4" x14ac:dyDescent="0.25">
      <c r="B392" s="9" t="s">
        <v>1309</v>
      </c>
      <c r="C392" s="2" t="s">
        <v>14</v>
      </c>
      <c r="D392" s="40">
        <f>IFERROR($D$391/Inputs!$D$15,"n/a")</f>
      </c>
    </row>
    <row r="394" spans="2:5" x14ac:dyDescent="0.25">
      <c r="B394" s="2" t="s">
        <v>1310</v>
      </c>
      <c r="C394" s="2" t="s">
        <v>326</v>
      </c>
      <c r="D394" s="15">
        <f>Inputs!$F$237*Inputs!$D$233</f>
      </c>
      <c r="E394" s="15">
        <f>Inputs!$D$237*Inputs!$D$234</f>
      </c>
    </row>
    <row r="395" spans="2:10" x14ac:dyDescent="0.25">
      <c r="B395" s="9" t="s">
        <v>1311</v>
      </c>
      <c r="C395" s="2" t="s">
        <v>14</v>
      </c>
      <c r="D395" s="35">
        <f>Inputs!$E$23</f>
      </c>
      <c r="E395" s="35">
        <f>$D$395*(1+(Inputs!$D$182+$D$394))</f>
      </c>
      <c r="F395" s="35">
        <f>$E$395*(1+(Inputs!$E$182+$D$394))</f>
      </c>
      <c r="G395" s="35">
        <f>$F$395*(1+(Inputs!$F$182+$D$394))</f>
      </c>
      <c r="H395" s="35">
        <f>$G$395*(1+(Inputs!$G$182+$D$394))</f>
      </c>
      <c r="I395" s="35">
        <f>$H$395*(1+(Inputs!$H$182+$D$394))</f>
      </c>
      <c r="J395" s="35">
        <f>$I$395*(1+Inputs!$D$172)</f>
      </c>
    </row>
    <row r="396" spans="2:10" x14ac:dyDescent="0.25">
      <c r="B396" s="2" t="s">
        <v>1312</v>
      </c>
      <c r="C396" s="2" t="s">
        <v>14</v>
      </c>
      <c r="D396" s="20">
        <f>$D$395*((Inputs!$E$26+Inputs!$E$51+Inputs!$E$52)/$D$395)</f>
      </c>
      <c r="E396" s="20">
        <f>$E$395*(Inputs!$D$183+$E$394)</f>
      </c>
      <c r="F396" s="20">
        <f>$F$395*(Inputs!$E$183+$E$394)</f>
      </c>
      <c r="G396" s="20">
        <f>$G$395*(Inputs!$F$183+$E$394)</f>
      </c>
      <c r="H396" s="20">
        <f>$H$395*(Inputs!$G$183+$E$394)</f>
      </c>
      <c r="I396" s="20">
        <f>$I$395*(Inputs!$H$183+$E$394)</f>
      </c>
      <c r="J396" s="20">
        <f>$J$395*(Inputs!$I$183+$E$394)</f>
      </c>
    </row>
    <row r="397" spans="2:10" x14ac:dyDescent="0.25">
      <c r="B397" s="2" t="s">
        <v>1313</v>
      </c>
      <c r="C397" s="2" t="s">
        <v>14</v>
      </c>
      <c r="D397" s="20">
        <f>-(Inputs!$E$29+Inputs!$E$30)</f>
      </c>
      <c r="E397" s="20">
        <f>$E$395*Inputs!$D$184</f>
      </c>
      <c r="F397" s="20">
        <f>$F$395*Inputs!$E$184</f>
      </c>
      <c r="G397" s="20">
        <f>$G$395*Inputs!$F$184</f>
      </c>
      <c r="H397" s="20">
        <f>$H$395*Inputs!$G$184</f>
      </c>
      <c r="I397" s="20">
        <f>$I$395*Inputs!$H$184</f>
      </c>
      <c r="J397" s="20">
        <f>$J$395*Inputs!$I$184</f>
      </c>
    </row>
    <row r="398" spans="2:10" x14ac:dyDescent="0.25">
      <c r="B398" s="2" t="s">
        <v>1314</v>
      </c>
      <c r="C398" s="2" t="s">
        <v>14</v>
      </c>
      <c r="D398" s="20">
        <f>Normalization!$D$13-Inputs!$E$26-Inputs!$E$29-Inputs!$E$30</f>
      </c>
      <c r="E398" s="20">
        <f>$E$395*Inputs!$D$185</f>
      </c>
      <c r="F398" s="20">
        <f>$F$395*Inputs!$E$185</f>
      </c>
      <c r="G398" s="20">
        <f>$G$395*Inputs!$F$185</f>
      </c>
      <c r="H398" s="20">
        <f>$H$395*Inputs!$G$185</f>
      </c>
      <c r="I398" s="20">
        <f>$I$395*Inputs!$H$185</f>
      </c>
      <c r="J398" s="20">
        <f>$J$395*Inputs!$I$185</f>
      </c>
    </row>
    <row r="399" spans="2:10" x14ac:dyDescent="0.25">
      <c r="B399" s="9" t="s">
        <v>1315</v>
      </c>
      <c r="C399" s="2" t="s">
        <v>14</v>
      </c>
      <c r="D399" s="34">
        <f>$D$396-$D$397+$D$398</f>
      </c>
      <c r="E399" s="34">
        <f>$E$396-$E$397+$E$398</f>
      </c>
      <c r="F399" s="34">
        <f>$F$396-$F$397+$F$398</f>
      </c>
      <c r="G399" s="34">
        <f>$G$396-$G$397+$G$398</f>
      </c>
      <c r="H399" s="34">
        <f>$H$396-$H$397+$H$398</f>
      </c>
      <c r="I399" s="34">
        <f>$I$396-$I$397+$I$398</f>
      </c>
      <c r="J399" s="34">
        <f>$J$396-$J$397+$J$398</f>
      </c>
    </row>
    <row r="400" spans="2:10" x14ac:dyDescent="0.25">
      <c r="B400" s="2" t="s">
        <v>1316</v>
      </c>
      <c r="C400" s="2" t="s">
        <v>14</v>
      </c>
      <c r="E400" s="20">
        <f>Inputs!$E$57</f>
      </c>
      <c r="F400" s="20">
        <f>$E$405</f>
      </c>
      <c r="G400" s="20">
        <f>$F$405</f>
      </c>
      <c r="H400" s="20">
        <f>$G$405</f>
      </c>
      <c r="I400" s="20">
        <f>$H$405</f>
      </c>
      <c r="J400" s="20">
        <f>$I$405</f>
      </c>
    </row>
    <row r="401" spans="2:10" x14ac:dyDescent="0.25">
      <c r="B401" s="2" t="s">
        <v>1317</v>
      </c>
      <c r="C401" s="2" t="s">
        <v>14</v>
      </c>
      <c r="D401" s="20">
        <f>Inputs!$E$51</f>
      </c>
      <c r="E401" s="20">
        <f>IF(Inputs!$D$180="ppe_rollforward",Inputs!$D$187*$E$400,$E$395*Inputs!$D$186)</f>
      </c>
      <c r="F401" s="20">
        <f>IF(Inputs!$D$180="ppe_rollforward",Inputs!$E$187*$F$400,$F$395*Inputs!$E$186)</f>
      </c>
      <c r="G401" s="20">
        <f>IF(Inputs!$D$180="ppe_rollforward",Inputs!$F$187*$G$400,$G$395*Inputs!$F$186)</f>
      </c>
      <c r="H401" s="20">
        <f>IF(Inputs!$D$180="ppe_rollforward",Inputs!$G$187*$H$400,$H$395*Inputs!$G$186)</f>
      </c>
      <c r="I401" s="20">
        <f>IF(Inputs!$D$180="ppe_rollforward",Inputs!$H$187*$I$400,$I$395*Inputs!$H$186)</f>
      </c>
      <c r="J401" s="20">
        <f>IF(Inputs!$D$180="ppe_rollforward",Inputs!$I$187*$J$400,$J$395*Inputs!$I$186)</f>
      </c>
    </row>
    <row r="402" spans="2:10" x14ac:dyDescent="0.25">
      <c r="B402" s="2" t="s">
        <v>1318</v>
      </c>
      <c r="C402" s="2" t="s">
        <v>14</v>
      </c>
      <c r="D402" s="20">
        <f>Inputs!$E$52</f>
      </c>
      <c r="E402" s="20">
        <f>IF(Inputs!$D$180="ppe_rollforward",$E$395*Inputs!$D$188,0)</f>
      </c>
      <c r="F402" s="20">
        <f>IF(Inputs!$D$180="ppe_rollforward",$F$395*Inputs!$E$188,0)</f>
      </c>
      <c r="G402" s="20">
        <f>IF(Inputs!$D$180="ppe_rollforward",$G$395*Inputs!$F$188,0)</f>
      </c>
      <c r="H402" s="20">
        <f>IF(Inputs!$D$180="ppe_rollforward",$H$395*Inputs!$G$188,0)</f>
      </c>
      <c r="I402" s="20">
        <f>IF(Inputs!$D$180="ppe_rollforward",$I$395*Inputs!$H$188,0)</f>
      </c>
      <c r="J402" s="20">
        <f>IF(Inputs!$D$180="ppe_rollforward",$J$395*Inputs!$I$188,0)</f>
      </c>
    </row>
    <row r="403" spans="2:10" x14ac:dyDescent="0.25">
      <c r="B403" s="2" t="s">
        <v>1319</v>
      </c>
      <c r="C403" s="2" t="s">
        <v>14</v>
      </c>
      <c r="D403" s="20">
        <f>$D$401+$D$402</f>
      </c>
      <c r="E403" s="20">
        <f>$E$401+$E$402</f>
      </c>
      <c r="F403" s="20">
        <f>$F$401+$F$402</f>
      </c>
      <c r="G403" s="20">
        <f>$G$401+$G$402</f>
      </c>
      <c r="H403" s="20">
        <f>$H$401+$H$402</f>
      </c>
      <c r="I403" s="20">
        <f>$I$401+$I$402</f>
      </c>
      <c r="J403" s="20">
        <f>$J$401+$J$402</f>
      </c>
    </row>
    <row r="404" spans="2:10" x14ac:dyDescent="0.25">
      <c r="B404" s="2" t="s">
        <v>1320</v>
      </c>
      <c r="C404" s="2" t="s">
        <v>14</v>
      </c>
      <c r="D404" s="20">
        <f>-Inputs!$E$111</f>
      </c>
      <c r="E404" s="20">
        <f>IF(Inputs!$D$181="absolute",Inputs!$D$190,$E$395*Inputs!$D$189)</f>
      </c>
      <c r="F404" s="20">
        <f>IF(Inputs!$D$181="absolute",Inputs!$E$190,$F$395*Inputs!$E$189)</f>
      </c>
      <c r="G404" s="20">
        <f>IF(Inputs!$D$181="absolute",Inputs!$F$190,$G$395*Inputs!$F$189)</f>
      </c>
      <c r="H404" s="20">
        <f>IF(Inputs!$D$181="absolute",Inputs!$G$190,$H$395*Inputs!$G$189)</f>
      </c>
      <c r="I404" s="20">
        <f>IF(Inputs!$D$181="absolute",Inputs!$H$190,$I$395*Inputs!$H$189)</f>
      </c>
      <c r="J404" s="20">
        <f>$J$395*Inputs!$I$189</f>
      </c>
    </row>
    <row r="405" spans="2:10" x14ac:dyDescent="0.25">
      <c r="B405" s="2" t="s">
        <v>1321</v>
      </c>
      <c r="C405" s="2" t="s">
        <v>14</v>
      </c>
      <c r="D405" s="20">
        <f>Inputs!$E$57</f>
      </c>
      <c r="E405" s="20">
        <f>$E$400+$E$404-$E$401</f>
      </c>
      <c r="F405" s="20">
        <f>$F$400+$F$404-$F$401</f>
      </c>
      <c r="G405" s="20">
        <f>$G$400+$G$404-$G$401</f>
      </c>
      <c r="H405" s="20">
        <f>$H$400+$H$404-$H$401</f>
      </c>
      <c r="I405" s="20">
        <f>$I$400+$I$404-$I$401</f>
      </c>
      <c r="J405" s="20">
        <f>$J$400+$J$404-$J$401</f>
      </c>
    </row>
    <row r="406" spans="2:10" x14ac:dyDescent="0.25">
      <c r="B406" s="9" t="s">
        <v>1322</v>
      </c>
      <c r="C406" s="2" t="s">
        <v>14</v>
      </c>
      <c r="D406" s="35">
        <f>$D$399-$D$403</f>
      </c>
      <c r="E406" s="35">
        <f>$E$399-$E$403</f>
      </c>
      <c r="F406" s="35">
        <f>$F$399-$F$403</f>
      </c>
      <c r="G406" s="35">
        <f>$G$399-$G$403</f>
      </c>
      <c r="H406" s="35">
        <f>$H$399-$H$403</f>
      </c>
      <c r="I406" s="35">
        <f>$I$399-$I$403</f>
      </c>
      <c r="J406" s="35">
        <f>$J$399-$J$403</f>
      </c>
    </row>
    <row r="407" spans="2:10" x14ac:dyDescent="0.25">
      <c r="B407" s="2" t="s">
        <v>1323</v>
      </c>
      <c r="C407" s="2" t="s">
        <v>54</v>
      </c>
      <c r="D407" s="11">
        <f>Inputs!$D$133</f>
      </c>
      <c r="E407" s="11">
        <f>Inputs!$D$196</f>
      </c>
      <c r="F407" s="11">
        <f>Inputs!$E$196</f>
      </c>
      <c r="G407" s="11">
        <f>Inputs!$F$196</f>
      </c>
      <c r="H407" s="11">
        <f>Inputs!$G$196</f>
      </c>
      <c r="I407" s="11">
        <f>Inputs!$H$196</f>
      </c>
      <c r="J407" s="11">
        <f>Inputs!$I$196</f>
      </c>
    </row>
    <row r="408" spans="2:10" x14ac:dyDescent="0.25">
      <c r="B408" s="2" t="s">
        <v>1324</v>
      </c>
      <c r="C408" s="2" t="s">
        <v>14</v>
      </c>
      <c r="D408" s="20">
        <f>$D$406*$D$407</f>
      </c>
      <c r="E408" s="20">
        <f>$E$406*$E$407</f>
      </c>
      <c r="F408" s="20">
        <f>$F$406*$F$407</f>
      </c>
      <c r="G408" s="20">
        <f>$G$406*$G$407</f>
      </c>
      <c r="H408" s="20">
        <f>$H$406*$H$407</f>
      </c>
      <c r="I408" s="20">
        <f>$I$406*$I$407</f>
      </c>
      <c r="J408" s="20">
        <f>$J$406*$J$407</f>
      </c>
    </row>
    <row r="409" spans="2:10" x14ac:dyDescent="0.25">
      <c r="B409" s="2" t="s">
        <v>1325</v>
      </c>
      <c r="C409" s="2" t="s">
        <v>14</v>
      </c>
      <c r="D409" s="33">
        <f>$D$406-$D$408</f>
      </c>
      <c r="E409" s="33">
        <f>$E$406-$E$408</f>
      </c>
      <c r="F409" s="33">
        <f>$F$406-$F$408</f>
      </c>
      <c r="G409" s="33">
        <f>$G$406-$G$408</f>
      </c>
      <c r="H409" s="33">
        <f>$H$406-$H$408</f>
      </c>
      <c r="I409" s="33">
        <f>$I$406-$I$408</f>
      </c>
      <c r="J409" s="33">
        <f>$J$406-$J$408</f>
      </c>
    </row>
    <row r="410" spans="2:10" x14ac:dyDescent="0.25">
      <c r="B410" s="2" t="s">
        <v>1326</v>
      </c>
      <c r="C410" s="2" t="s">
        <v>14</v>
      </c>
      <c r="D410" s="20">
        <f>$D$395*(1-((Inputs!$E$26+Inputs!$E$51+Inputs!$E$52)/$D$395))</f>
      </c>
      <c r="E410" s="20">
        <f>$E$395*(1-(Inputs!$D$183+$E$394))</f>
      </c>
      <c r="F410" s="20">
        <f>$F$395*(1-(Inputs!$E$183+$E$394))</f>
      </c>
      <c r="G410" s="20">
        <f>$G$395*(1-(Inputs!$F$183+$E$394))</f>
      </c>
      <c r="H410" s="20">
        <f>$H$395*(1-(Inputs!$G$183+$E$394))</f>
      </c>
      <c r="I410" s="20">
        <f>$I$395*(1-(Inputs!$H$183+$E$394))</f>
      </c>
      <c r="J410" s="20">
        <f>$J$395*(1-(Inputs!$I$183+$E$394))</f>
      </c>
    </row>
    <row r="411" spans="2:10" x14ac:dyDescent="0.25">
      <c r="B411" s="2" t="s">
        <v>1327</v>
      </c>
      <c r="C411" s="2" t="s">
        <v>14</v>
      </c>
      <c r="D411" s="20">
        <f>Inputs!$E$67</f>
      </c>
      <c r="E411" s="20">
        <f>$E$395*Inputs!$D$191/Inputs!$D$18</f>
      </c>
      <c r="F411" s="20">
        <f>$F$395*Inputs!$E$191/Inputs!$D$18</f>
      </c>
      <c r="G411" s="20">
        <f>$G$395*Inputs!$F$191/Inputs!$D$18</f>
      </c>
      <c r="H411" s="20">
        <f>$H$395*Inputs!$G$191/Inputs!$D$18</f>
      </c>
      <c r="I411" s="20">
        <f>$I$395*Inputs!$H$191/Inputs!$D$18</f>
      </c>
      <c r="J411" s="20">
        <f>$J$395*Inputs!$I$191/Inputs!$D$18</f>
      </c>
    </row>
    <row r="412" spans="2:10" x14ac:dyDescent="0.25">
      <c r="B412" s="2" t="s">
        <v>1328</v>
      </c>
      <c r="C412" s="2" t="s">
        <v>14</v>
      </c>
      <c r="D412" s="20">
        <f>Inputs!$E$66</f>
      </c>
      <c r="E412" s="20">
        <f>$E$410*Inputs!$D$192/Inputs!$D$18</f>
      </c>
      <c r="F412" s="20">
        <f>$F$410*Inputs!$E$192/Inputs!$D$18</f>
      </c>
      <c r="G412" s="20">
        <f>$G$410*Inputs!$F$192/Inputs!$D$18</f>
      </c>
      <c r="H412" s="20">
        <f>$H$410*Inputs!$G$192/Inputs!$D$18</f>
      </c>
      <c r="I412" s="20">
        <f>$I$410*Inputs!$H$192/Inputs!$D$18</f>
      </c>
      <c r="J412" s="20">
        <f>$J$410*Inputs!$I$192/Inputs!$D$18</f>
      </c>
    </row>
    <row r="413" spans="2:10" x14ac:dyDescent="0.25">
      <c r="B413" s="2" t="s">
        <v>1329</v>
      </c>
      <c r="C413" s="2" t="s">
        <v>14</v>
      </c>
      <c r="D413" s="20">
        <f>Inputs!$E$93</f>
      </c>
      <c r="E413" s="20">
        <f>$E$410*Inputs!$D$193/Inputs!$D$18</f>
      </c>
      <c r="F413" s="20">
        <f>$F$410*Inputs!$E$193/Inputs!$D$18</f>
      </c>
      <c r="G413" s="20">
        <f>$G$410*Inputs!$F$193/Inputs!$D$18</f>
      </c>
      <c r="H413" s="20">
        <f>$H$410*Inputs!$G$193/Inputs!$D$18</f>
      </c>
      <c r="I413" s="20">
        <f>$I$410*Inputs!$H$193/Inputs!$D$18</f>
      </c>
      <c r="J413" s="20">
        <f>$J$410*Inputs!$I$193/Inputs!$D$18</f>
      </c>
    </row>
    <row r="414" spans="2:10" x14ac:dyDescent="0.25">
      <c r="B414" s="2" t="s">
        <v>1330</v>
      </c>
      <c r="C414" s="2" t="s">
        <v>14</v>
      </c>
      <c r="D414" s="20">
        <f>Inputs!$E$70+Inputs!$E$72+Inputs!$E$71</f>
      </c>
      <c r="E414" s="20">
        <f>$E$395*Inputs!$D$194</f>
      </c>
      <c r="F414" s="20">
        <f>$F$395*Inputs!$E$194</f>
      </c>
      <c r="G414" s="20">
        <f>$G$395*Inputs!$F$194</f>
      </c>
      <c r="H414" s="20">
        <f>$H$395*Inputs!$G$194</f>
      </c>
      <c r="I414" s="20">
        <f>$I$395*Inputs!$H$194</f>
      </c>
      <c r="J414" s="20">
        <f>$J$395*Inputs!$I$194</f>
      </c>
    </row>
    <row r="415" spans="2:10" x14ac:dyDescent="0.25">
      <c r="B415" s="2" t="s">
        <v>1331</v>
      </c>
      <c r="C415" s="2" t="s">
        <v>14</v>
      </c>
      <c r="D415" s="20">
        <f>Inputs!$E$94+Inputs!$E$95+Inputs!$E$97+Inputs!$E$98+Inputs!$E$99</f>
      </c>
      <c r="E415" s="20">
        <f>$E$395*Inputs!$D$195</f>
      </c>
      <c r="F415" s="20">
        <f>$F$395*Inputs!$E$195</f>
      </c>
      <c r="G415" s="20">
        <f>$G$395*Inputs!$F$195</f>
      </c>
      <c r="H415" s="20">
        <f>$H$395*Inputs!$G$195</f>
      </c>
      <c r="I415" s="20">
        <f>$I$395*Inputs!$H$195</f>
      </c>
      <c r="J415" s="20">
        <f>$J$395*Inputs!$I$195</f>
      </c>
    </row>
    <row r="416" spans="2:10" x14ac:dyDescent="0.25">
      <c r="B416" s="2" t="s">
        <v>1332</v>
      </c>
      <c r="C416" s="2" t="s">
        <v>14</v>
      </c>
      <c r="D416" s="33">
        <f>$D$411+$D$412+$D$414-$D$413-$D$415</f>
      </c>
      <c r="E416" s="33">
        <f>$E$411+$E$412+$E$414-$E$413-$E$415</f>
      </c>
      <c r="F416" s="33">
        <f>$F$411+$F$412+$F$414-$F$413-$F$415</f>
      </c>
      <c r="G416" s="33">
        <f>$G$411+$G$412+$G$414-$G$413-$G$415</f>
      </c>
      <c r="H416" s="33">
        <f>$H$411+$H$412+$H$414-$H$413-$H$415</f>
      </c>
      <c r="I416" s="33">
        <f>$I$411+$I$412+$I$414-$I$413-$I$415</f>
      </c>
      <c r="J416" s="33">
        <f>$J$411+$J$412+$J$414-$J$413-$J$415</f>
      </c>
    </row>
    <row r="417" spans="2:10" x14ac:dyDescent="0.25">
      <c r="B417" s="2" t="s">
        <v>1333</v>
      </c>
      <c r="C417" s="2" t="s">
        <v>14</v>
      </c>
      <c r="E417" s="20">
        <f>$E$416-$D$416</f>
      </c>
      <c r="F417" s="20">
        <f>$F$416-$E$416</f>
      </c>
      <c r="G417" s="20">
        <f>$G$416-$F$416</f>
      </c>
      <c r="H417" s="20">
        <f>$H$416-$G$416</f>
      </c>
      <c r="I417" s="20">
        <f>$I$416-$H$416</f>
      </c>
      <c r="J417" s="20">
        <f>$J$416-$I$416</f>
      </c>
    </row>
    <row r="418" spans="2:10" x14ac:dyDescent="0.25">
      <c r="B418" s="2" t="s">
        <v>1334</v>
      </c>
      <c r="C418" s="2" t="s">
        <v>14</v>
      </c>
      <c r="D418" s="20">
        <f>Inputs!$E$49</f>
      </c>
      <c r="E418" s="20">
        <f>$E$409+Inputs!$D$202*(1-$E$407)</f>
      </c>
      <c r="F418" s="20">
        <f>$F$409+Inputs!$D$202*(1-$F$407)</f>
      </c>
      <c r="G418" s="20">
        <f>$G$409+Inputs!$D$202*(1-$G$407)</f>
      </c>
      <c r="H418" s="20">
        <f>$H$409+Inputs!$D$202*(1-$H$407)</f>
      </c>
      <c r="I418" s="20">
        <f>$I$409+Inputs!$D$202*(1-$I$407)</f>
      </c>
      <c r="J418" s="20">
        <f>$J$409+Inputs!$D$202*(1-$J$407)</f>
      </c>
    </row>
    <row r="419" spans="2:10" x14ac:dyDescent="0.25">
      <c r="B419" s="2" t="s">
        <v>1335</v>
      </c>
      <c r="C419" s="2" t="s">
        <v>14</v>
      </c>
      <c r="E419" s="20">
        <f>IF(Inputs!$D$200=1,Inputs!$D$201*$D$418,0)</f>
      </c>
      <c r="F419" s="20">
        <f>IF(Inputs!$D$200=1,Inputs!$D$201*$E$418,0)</f>
      </c>
      <c r="G419" s="20">
        <f>IF(Inputs!$D$200=1,Inputs!$D$201*$F$418,0)</f>
      </c>
      <c r="H419" s="20">
        <f>IF(Inputs!$D$200=1,Inputs!$D$201*$G$418,0)</f>
      </c>
      <c r="I419" s="20">
        <f>IF(Inputs!$D$200=1,Inputs!$D$201*$H$418,0)</f>
      </c>
      <c r="J419" s="20">
        <f>IF(Inputs!$D$200=1,Inputs!$D$201*$I$418,0)</f>
      </c>
    </row>
    <row r="420" spans="2:10" x14ac:dyDescent="0.25">
      <c r="B420" s="9" t="s">
        <v>1336</v>
      </c>
      <c r="C420" s="2" t="s">
        <v>14</v>
      </c>
      <c r="E420" s="34">
        <f>$E$409+$E$403-$E$404-$E$417-$E$419</f>
      </c>
      <c r="F420" s="34">
        <f>$F$409+$F$403-$F$404-$F$417-$F$419</f>
      </c>
      <c r="G420" s="34">
        <f>$G$409+$G$403-$G$404-$G$417-$G$419</f>
      </c>
      <c r="H420" s="34">
        <f>$H$409+$H$403-$H$404-$H$417-$H$419</f>
      </c>
      <c r="I420" s="34">
        <f>$I$409+$I$403-$I$404-$I$417-$I$419</f>
      </c>
      <c r="J420" s="34">
        <f>$J$409+$J$403-$J$404-$J$417-$J$419</f>
      </c>
    </row>
    <row r="421" spans="2:9" x14ac:dyDescent="0.25">
      <c r="B421" s="2" t="s">
        <v>1337</v>
      </c>
      <c r="C421" s="2" t="s">
        <v>14</v>
      </c>
      <c r="E421" s="20">
        <f>$E$420*DCF!$D$10*(1+WACC!$D$54)^(-DCF!$D$12)</f>
      </c>
      <c r="F421" s="20">
        <f>$F$420*DCF!$E$10*(1+WACC!$D$54)^(-DCF!$E$12)</f>
      </c>
      <c r="G421" s="20">
        <f>$G$420*DCF!$F$10*(1+WACC!$D$54)^(-DCF!$F$12)</f>
      </c>
      <c r="H421" s="20">
        <f>$H$420*DCF!$G$10*(1+WACC!$D$54)^(-DCF!$G$12)</f>
      </c>
      <c r="I421" s="20">
        <f>$I$420*DCF!$H$10*(1+WACC!$D$54)^(-DCF!$H$12)</f>
      </c>
    </row>
    <row r="422" spans="2:4" x14ac:dyDescent="0.25">
      <c r="B422" s="2" t="s">
        <v>1338</v>
      </c>
      <c r="C422" s="2" t="s">
        <v>14</v>
      </c>
      <c r="D422" s="20">
        <f>SUM($E$421:$I$421)</f>
      </c>
    </row>
    <row r="423" spans="2:4" x14ac:dyDescent="0.25">
      <c r="B423" s="2" t="s">
        <v>1339</v>
      </c>
      <c r="C423" s="2" t="s">
        <v>14</v>
      </c>
      <c r="D423" s="20">
        <f>IF(Inputs!$D$171="gordon",IF(Inputs!$D$172&lt;WACC!$D$54,$J$420/(WACC!$D$54-Inputs!$D$172),"n/a"),$I$399*Inputs!$D$173)</f>
      </c>
    </row>
    <row r="424" spans="2:4" x14ac:dyDescent="0.25">
      <c r="B424" s="2" t="s">
        <v>1340</v>
      </c>
      <c r="C424" s="2" t="s">
        <v>14</v>
      </c>
      <c r="D424" s="33">
        <f>IFERROR($D$422+$D$423*(1+WACC!$D$54)^(-DCF!$D$21),"n/a")</f>
      </c>
    </row>
    <row r="425" spans="2:4" x14ac:dyDescent="0.25">
      <c r="B425" s="2" t="s">
        <v>1341</v>
      </c>
      <c r="C425" s="2" t="s">
        <v>14</v>
      </c>
      <c r="D425" s="20">
        <f>IFERROR($D$424+DCF!$D$51,"n/a")</f>
      </c>
    </row>
    <row r="426" spans="2:4" x14ac:dyDescent="0.25">
      <c r="B426" s="9" t="s">
        <v>1342</v>
      </c>
      <c r="C426" s="2" t="s">
        <v>14</v>
      </c>
      <c r="D426" s="40">
        <f>IFERROR($D$425/Inputs!$D$15,"n/a")</f>
      </c>
    </row>
    <row r="428" spans="2:5" x14ac:dyDescent="0.25">
      <c r="B428" s="2" t="s">
        <v>1343</v>
      </c>
      <c r="C428" s="2" t="s">
        <v>326</v>
      </c>
      <c r="D428" s="15">
        <f>Inputs!$F$237*Inputs!$D$233</f>
      </c>
      <c r="E428" s="15">
        <f>Inputs!$E$237*Inputs!$D$234</f>
      </c>
    </row>
    <row r="429" spans="2:10" x14ac:dyDescent="0.25">
      <c r="B429" s="9" t="s">
        <v>1344</v>
      </c>
      <c r="C429" s="2" t="s">
        <v>14</v>
      </c>
      <c r="D429" s="35">
        <f>Inputs!$E$23</f>
      </c>
      <c r="E429" s="35">
        <f>$D$429*(1+(Inputs!$D$182+$D$428))</f>
      </c>
      <c r="F429" s="35">
        <f>$E$429*(1+(Inputs!$E$182+$D$428))</f>
      </c>
      <c r="G429" s="35">
        <f>$F$429*(1+(Inputs!$F$182+$D$428))</f>
      </c>
      <c r="H429" s="35">
        <f>$G$429*(1+(Inputs!$G$182+$D$428))</f>
      </c>
      <c r="I429" s="35">
        <f>$H$429*(1+(Inputs!$H$182+$D$428))</f>
      </c>
      <c r="J429" s="35">
        <f>$I$429*(1+Inputs!$D$172)</f>
      </c>
    </row>
    <row r="430" spans="2:10" x14ac:dyDescent="0.25">
      <c r="B430" s="2" t="s">
        <v>1345</v>
      </c>
      <c r="C430" s="2" t="s">
        <v>14</v>
      </c>
      <c r="D430" s="20">
        <f>$D$429*((Inputs!$E$26+Inputs!$E$51+Inputs!$E$52)/$D$429)</f>
      </c>
      <c r="E430" s="20">
        <f>$E$429*(Inputs!$D$183+$E$428)</f>
      </c>
      <c r="F430" s="20">
        <f>$F$429*(Inputs!$E$183+$E$428)</f>
      </c>
      <c r="G430" s="20">
        <f>$G$429*(Inputs!$F$183+$E$428)</f>
      </c>
      <c r="H430" s="20">
        <f>$H$429*(Inputs!$G$183+$E$428)</f>
      </c>
      <c r="I430" s="20">
        <f>$I$429*(Inputs!$H$183+$E$428)</f>
      </c>
      <c r="J430" s="20">
        <f>$J$429*(Inputs!$I$183+$E$428)</f>
      </c>
    </row>
    <row r="431" spans="2:10" x14ac:dyDescent="0.25">
      <c r="B431" s="2" t="s">
        <v>1346</v>
      </c>
      <c r="C431" s="2" t="s">
        <v>14</v>
      </c>
      <c r="D431" s="20">
        <f>-(Inputs!$E$29+Inputs!$E$30)</f>
      </c>
      <c r="E431" s="20">
        <f>$E$429*Inputs!$D$184</f>
      </c>
      <c r="F431" s="20">
        <f>$F$429*Inputs!$E$184</f>
      </c>
      <c r="G431" s="20">
        <f>$G$429*Inputs!$F$184</f>
      </c>
      <c r="H431" s="20">
        <f>$H$429*Inputs!$G$184</f>
      </c>
      <c r="I431" s="20">
        <f>$I$429*Inputs!$H$184</f>
      </c>
      <c r="J431" s="20">
        <f>$J$429*Inputs!$I$184</f>
      </c>
    </row>
    <row r="432" spans="2:10" x14ac:dyDescent="0.25">
      <c r="B432" s="2" t="s">
        <v>1347</v>
      </c>
      <c r="C432" s="2" t="s">
        <v>14</v>
      </c>
      <c r="D432" s="20">
        <f>Normalization!$D$13-Inputs!$E$26-Inputs!$E$29-Inputs!$E$30</f>
      </c>
      <c r="E432" s="20">
        <f>$E$429*Inputs!$D$185</f>
      </c>
      <c r="F432" s="20">
        <f>$F$429*Inputs!$E$185</f>
      </c>
      <c r="G432" s="20">
        <f>$G$429*Inputs!$F$185</f>
      </c>
      <c r="H432" s="20">
        <f>$H$429*Inputs!$G$185</f>
      </c>
      <c r="I432" s="20">
        <f>$I$429*Inputs!$H$185</f>
      </c>
      <c r="J432" s="20">
        <f>$J$429*Inputs!$I$185</f>
      </c>
    </row>
    <row r="433" spans="2:10" x14ac:dyDescent="0.25">
      <c r="B433" s="9" t="s">
        <v>1348</v>
      </c>
      <c r="C433" s="2" t="s">
        <v>14</v>
      </c>
      <c r="D433" s="34">
        <f>$D$430-$D$431+$D$432</f>
      </c>
      <c r="E433" s="34">
        <f>$E$430-$E$431+$E$432</f>
      </c>
      <c r="F433" s="34">
        <f>$F$430-$F$431+$F$432</f>
      </c>
      <c r="G433" s="34">
        <f>$G$430-$G$431+$G$432</f>
      </c>
      <c r="H433" s="34">
        <f>$H$430-$H$431+$H$432</f>
      </c>
      <c r="I433" s="34">
        <f>$I$430-$I$431+$I$432</f>
      </c>
      <c r="J433" s="34">
        <f>$J$430-$J$431+$J$432</f>
      </c>
    </row>
    <row r="434" spans="2:10" x14ac:dyDescent="0.25">
      <c r="B434" s="2" t="s">
        <v>1349</v>
      </c>
      <c r="C434" s="2" t="s">
        <v>14</v>
      </c>
      <c r="E434" s="20">
        <f>Inputs!$E$57</f>
      </c>
      <c r="F434" s="20">
        <f>$E$439</f>
      </c>
      <c r="G434" s="20">
        <f>$F$439</f>
      </c>
      <c r="H434" s="20">
        <f>$G$439</f>
      </c>
      <c r="I434" s="20">
        <f>$H$439</f>
      </c>
      <c r="J434" s="20">
        <f>$I$439</f>
      </c>
    </row>
    <row r="435" spans="2:10" x14ac:dyDescent="0.25">
      <c r="B435" s="2" t="s">
        <v>1350</v>
      </c>
      <c r="C435" s="2" t="s">
        <v>14</v>
      </c>
      <c r="D435" s="20">
        <f>Inputs!$E$51</f>
      </c>
      <c r="E435" s="20">
        <f>IF(Inputs!$D$180="ppe_rollforward",Inputs!$D$187*$E$434,$E$429*Inputs!$D$186)</f>
      </c>
      <c r="F435" s="20">
        <f>IF(Inputs!$D$180="ppe_rollforward",Inputs!$E$187*$F$434,$F$429*Inputs!$E$186)</f>
      </c>
      <c r="G435" s="20">
        <f>IF(Inputs!$D$180="ppe_rollforward",Inputs!$F$187*$G$434,$G$429*Inputs!$F$186)</f>
      </c>
      <c r="H435" s="20">
        <f>IF(Inputs!$D$180="ppe_rollforward",Inputs!$G$187*$H$434,$H$429*Inputs!$G$186)</f>
      </c>
      <c r="I435" s="20">
        <f>IF(Inputs!$D$180="ppe_rollforward",Inputs!$H$187*$I$434,$I$429*Inputs!$H$186)</f>
      </c>
      <c r="J435" s="20">
        <f>IF(Inputs!$D$180="ppe_rollforward",Inputs!$I$187*$J$434,$J$429*Inputs!$I$186)</f>
      </c>
    </row>
    <row r="436" spans="2:10" x14ac:dyDescent="0.25">
      <c r="B436" s="2" t="s">
        <v>1351</v>
      </c>
      <c r="C436" s="2" t="s">
        <v>14</v>
      </c>
      <c r="D436" s="20">
        <f>Inputs!$E$52</f>
      </c>
      <c r="E436" s="20">
        <f>IF(Inputs!$D$180="ppe_rollforward",$E$429*Inputs!$D$188,0)</f>
      </c>
      <c r="F436" s="20">
        <f>IF(Inputs!$D$180="ppe_rollforward",$F$429*Inputs!$E$188,0)</f>
      </c>
      <c r="G436" s="20">
        <f>IF(Inputs!$D$180="ppe_rollforward",$G$429*Inputs!$F$188,0)</f>
      </c>
      <c r="H436" s="20">
        <f>IF(Inputs!$D$180="ppe_rollforward",$H$429*Inputs!$G$188,0)</f>
      </c>
      <c r="I436" s="20">
        <f>IF(Inputs!$D$180="ppe_rollforward",$I$429*Inputs!$H$188,0)</f>
      </c>
      <c r="J436" s="20">
        <f>IF(Inputs!$D$180="ppe_rollforward",$J$429*Inputs!$I$188,0)</f>
      </c>
    </row>
    <row r="437" spans="2:10" x14ac:dyDescent="0.25">
      <c r="B437" s="2" t="s">
        <v>1352</v>
      </c>
      <c r="C437" s="2" t="s">
        <v>14</v>
      </c>
      <c r="D437" s="20">
        <f>$D$435+$D$436</f>
      </c>
      <c r="E437" s="20">
        <f>$E$435+$E$436</f>
      </c>
      <c r="F437" s="20">
        <f>$F$435+$F$436</f>
      </c>
      <c r="G437" s="20">
        <f>$G$435+$G$436</f>
      </c>
      <c r="H437" s="20">
        <f>$H$435+$H$436</f>
      </c>
      <c r="I437" s="20">
        <f>$I$435+$I$436</f>
      </c>
      <c r="J437" s="20">
        <f>$J$435+$J$436</f>
      </c>
    </row>
    <row r="438" spans="2:10" x14ac:dyDescent="0.25">
      <c r="B438" s="2" t="s">
        <v>1353</v>
      </c>
      <c r="C438" s="2" t="s">
        <v>14</v>
      </c>
      <c r="D438" s="20">
        <f>-Inputs!$E$111</f>
      </c>
      <c r="E438" s="20">
        <f>IF(Inputs!$D$181="absolute",Inputs!$D$190,$E$429*Inputs!$D$189)</f>
      </c>
      <c r="F438" s="20">
        <f>IF(Inputs!$D$181="absolute",Inputs!$E$190,$F$429*Inputs!$E$189)</f>
      </c>
      <c r="G438" s="20">
        <f>IF(Inputs!$D$181="absolute",Inputs!$F$190,$G$429*Inputs!$F$189)</f>
      </c>
      <c r="H438" s="20">
        <f>IF(Inputs!$D$181="absolute",Inputs!$G$190,$H$429*Inputs!$G$189)</f>
      </c>
      <c r="I438" s="20">
        <f>IF(Inputs!$D$181="absolute",Inputs!$H$190,$I$429*Inputs!$H$189)</f>
      </c>
      <c r="J438" s="20">
        <f>$J$429*Inputs!$I$189</f>
      </c>
    </row>
    <row r="439" spans="2:10" x14ac:dyDescent="0.25">
      <c r="B439" s="2" t="s">
        <v>1354</v>
      </c>
      <c r="C439" s="2" t="s">
        <v>14</v>
      </c>
      <c r="D439" s="20">
        <f>Inputs!$E$57</f>
      </c>
      <c r="E439" s="20">
        <f>$E$434+$E$438-$E$435</f>
      </c>
      <c r="F439" s="20">
        <f>$F$434+$F$438-$F$435</f>
      </c>
      <c r="G439" s="20">
        <f>$G$434+$G$438-$G$435</f>
      </c>
      <c r="H439" s="20">
        <f>$H$434+$H$438-$H$435</f>
      </c>
      <c r="I439" s="20">
        <f>$I$434+$I$438-$I$435</f>
      </c>
      <c r="J439" s="20">
        <f>$J$434+$J$438-$J$435</f>
      </c>
    </row>
    <row r="440" spans="2:10" x14ac:dyDescent="0.25">
      <c r="B440" s="9" t="s">
        <v>1355</v>
      </c>
      <c r="C440" s="2" t="s">
        <v>14</v>
      </c>
      <c r="D440" s="35">
        <f>$D$433-$D$437</f>
      </c>
      <c r="E440" s="35">
        <f>$E$433-$E$437</f>
      </c>
      <c r="F440" s="35">
        <f>$F$433-$F$437</f>
      </c>
      <c r="G440" s="35">
        <f>$G$433-$G$437</f>
      </c>
      <c r="H440" s="35">
        <f>$H$433-$H$437</f>
      </c>
      <c r="I440" s="35">
        <f>$I$433-$I$437</f>
      </c>
      <c r="J440" s="35">
        <f>$J$433-$J$437</f>
      </c>
    </row>
    <row r="441" spans="2:10" x14ac:dyDescent="0.25">
      <c r="B441" s="2" t="s">
        <v>1356</v>
      </c>
      <c r="C441" s="2" t="s">
        <v>54</v>
      </c>
      <c r="D441" s="11">
        <f>Inputs!$D$133</f>
      </c>
      <c r="E441" s="11">
        <f>Inputs!$D$196</f>
      </c>
      <c r="F441" s="11">
        <f>Inputs!$E$196</f>
      </c>
      <c r="G441" s="11">
        <f>Inputs!$F$196</f>
      </c>
      <c r="H441" s="11">
        <f>Inputs!$G$196</f>
      </c>
      <c r="I441" s="11">
        <f>Inputs!$H$196</f>
      </c>
      <c r="J441" s="11">
        <f>Inputs!$I$196</f>
      </c>
    </row>
    <row r="442" spans="2:10" x14ac:dyDescent="0.25">
      <c r="B442" s="2" t="s">
        <v>1357</v>
      </c>
      <c r="C442" s="2" t="s">
        <v>14</v>
      </c>
      <c r="D442" s="20">
        <f>$D$440*$D$441</f>
      </c>
      <c r="E442" s="20">
        <f>$E$440*$E$441</f>
      </c>
      <c r="F442" s="20">
        <f>$F$440*$F$441</f>
      </c>
      <c r="G442" s="20">
        <f>$G$440*$G$441</f>
      </c>
      <c r="H442" s="20">
        <f>$H$440*$H$441</f>
      </c>
      <c r="I442" s="20">
        <f>$I$440*$I$441</f>
      </c>
      <c r="J442" s="20">
        <f>$J$440*$J$441</f>
      </c>
    </row>
    <row r="443" spans="2:10" x14ac:dyDescent="0.25">
      <c r="B443" s="2" t="s">
        <v>1358</v>
      </c>
      <c r="C443" s="2" t="s">
        <v>14</v>
      </c>
      <c r="D443" s="33">
        <f>$D$440-$D$442</f>
      </c>
      <c r="E443" s="33">
        <f>$E$440-$E$442</f>
      </c>
      <c r="F443" s="33">
        <f>$F$440-$F$442</f>
      </c>
      <c r="G443" s="33">
        <f>$G$440-$G$442</f>
      </c>
      <c r="H443" s="33">
        <f>$H$440-$H$442</f>
      </c>
      <c r="I443" s="33">
        <f>$I$440-$I$442</f>
      </c>
      <c r="J443" s="33">
        <f>$J$440-$J$442</f>
      </c>
    </row>
    <row r="444" spans="2:10" x14ac:dyDescent="0.25">
      <c r="B444" s="2" t="s">
        <v>1359</v>
      </c>
      <c r="C444" s="2" t="s">
        <v>14</v>
      </c>
      <c r="D444" s="20">
        <f>$D$429*(1-((Inputs!$E$26+Inputs!$E$51+Inputs!$E$52)/$D$429))</f>
      </c>
      <c r="E444" s="20">
        <f>$E$429*(1-(Inputs!$D$183+$E$428))</f>
      </c>
      <c r="F444" s="20">
        <f>$F$429*(1-(Inputs!$E$183+$E$428))</f>
      </c>
      <c r="G444" s="20">
        <f>$G$429*(1-(Inputs!$F$183+$E$428))</f>
      </c>
      <c r="H444" s="20">
        <f>$H$429*(1-(Inputs!$G$183+$E$428))</f>
      </c>
      <c r="I444" s="20">
        <f>$I$429*(1-(Inputs!$H$183+$E$428))</f>
      </c>
      <c r="J444" s="20">
        <f>$J$429*(1-(Inputs!$I$183+$E$428))</f>
      </c>
    </row>
    <row r="445" spans="2:10" x14ac:dyDescent="0.25">
      <c r="B445" s="2" t="s">
        <v>1360</v>
      </c>
      <c r="C445" s="2" t="s">
        <v>14</v>
      </c>
      <c r="D445" s="20">
        <f>Inputs!$E$67</f>
      </c>
      <c r="E445" s="20">
        <f>$E$429*Inputs!$D$191/Inputs!$D$18</f>
      </c>
      <c r="F445" s="20">
        <f>$F$429*Inputs!$E$191/Inputs!$D$18</f>
      </c>
      <c r="G445" s="20">
        <f>$G$429*Inputs!$F$191/Inputs!$D$18</f>
      </c>
      <c r="H445" s="20">
        <f>$H$429*Inputs!$G$191/Inputs!$D$18</f>
      </c>
      <c r="I445" s="20">
        <f>$I$429*Inputs!$H$191/Inputs!$D$18</f>
      </c>
      <c r="J445" s="20">
        <f>$J$429*Inputs!$I$191/Inputs!$D$18</f>
      </c>
    </row>
    <row r="446" spans="2:10" x14ac:dyDescent="0.25">
      <c r="B446" s="2" t="s">
        <v>1361</v>
      </c>
      <c r="C446" s="2" t="s">
        <v>14</v>
      </c>
      <c r="D446" s="20">
        <f>Inputs!$E$66</f>
      </c>
      <c r="E446" s="20">
        <f>$E$444*Inputs!$D$192/Inputs!$D$18</f>
      </c>
      <c r="F446" s="20">
        <f>$F$444*Inputs!$E$192/Inputs!$D$18</f>
      </c>
      <c r="G446" s="20">
        <f>$G$444*Inputs!$F$192/Inputs!$D$18</f>
      </c>
      <c r="H446" s="20">
        <f>$H$444*Inputs!$G$192/Inputs!$D$18</f>
      </c>
      <c r="I446" s="20">
        <f>$I$444*Inputs!$H$192/Inputs!$D$18</f>
      </c>
      <c r="J446" s="20">
        <f>$J$444*Inputs!$I$192/Inputs!$D$18</f>
      </c>
    </row>
    <row r="447" spans="2:10" x14ac:dyDescent="0.25">
      <c r="B447" s="2" t="s">
        <v>1362</v>
      </c>
      <c r="C447" s="2" t="s">
        <v>14</v>
      </c>
      <c r="D447" s="20">
        <f>Inputs!$E$93</f>
      </c>
      <c r="E447" s="20">
        <f>$E$444*Inputs!$D$193/Inputs!$D$18</f>
      </c>
      <c r="F447" s="20">
        <f>$F$444*Inputs!$E$193/Inputs!$D$18</f>
      </c>
      <c r="G447" s="20">
        <f>$G$444*Inputs!$F$193/Inputs!$D$18</f>
      </c>
      <c r="H447" s="20">
        <f>$H$444*Inputs!$G$193/Inputs!$D$18</f>
      </c>
      <c r="I447" s="20">
        <f>$I$444*Inputs!$H$193/Inputs!$D$18</f>
      </c>
      <c r="J447" s="20">
        <f>$J$444*Inputs!$I$193/Inputs!$D$18</f>
      </c>
    </row>
    <row r="448" spans="2:10" x14ac:dyDescent="0.25">
      <c r="B448" s="2" t="s">
        <v>1363</v>
      </c>
      <c r="C448" s="2" t="s">
        <v>14</v>
      </c>
      <c r="D448" s="20">
        <f>Inputs!$E$70+Inputs!$E$72+Inputs!$E$71</f>
      </c>
      <c r="E448" s="20">
        <f>$E$429*Inputs!$D$194</f>
      </c>
      <c r="F448" s="20">
        <f>$F$429*Inputs!$E$194</f>
      </c>
      <c r="G448" s="20">
        <f>$G$429*Inputs!$F$194</f>
      </c>
      <c r="H448" s="20">
        <f>$H$429*Inputs!$G$194</f>
      </c>
      <c r="I448" s="20">
        <f>$I$429*Inputs!$H$194</f>
      </c>
      <c r="J448" s="20">
        <f>$J$429*Inputs!$I$194</f>
      </c>
    </row>
    <row r="449" spans="2:10" x14ac:dyDescent="0.25">
      <c r="B449" s="2" t="s">
        <v>1364</v>
      </c>
      <c r="C449" s="2" t="s">
        <v>14</v>
      </c>
      <c r="D449" s="20">
        <f>Inputs!$E$94+Inputs!$E$95+Inputs!$E$97+Inputs!$E$98+Inputs!$E$99</f>
      </c>
      <c r="E449" s="20">
        <f>$E$429*Inputs!$D$195</f>
      </c>
      <c r="F449" s="20">
        <f>$F$429*Inputs!$E$195</f>
      </c>
      <c r="G449" s="20">
        <f>$G$429*Inputs!$F$195</f>
      </c>
      <c r="H449" s="20">
        <f>$H$429*Inputs!$G$195</f>
      </c>
      <c r="I449" s="20">
        <f>$I$429*Inputs!$H$195</f>
      </c>
      <c r="J449" s="20">
        <f>$J$429*Inputs!$I$195</f>
      </c>
    </row>
    <row r="450" spans="2:10" x14ac:dyDescent="0.25">
      <c r="B450" s="2" t="s">
        <v>1365</v>
      </c>
      <c r="C450" s="2" t="s">
        <v>14</v>
      </c>
      <c r="D450" s="33">
        <f>$D$445+$D$446+$D$448-$D$447-$D$449</f>
      </c>
      <c r="E450" s="33">
        <f>$E$445+$E$446+$E$448-$E$447-$E$449</f>
      </c>
      <c r="F450" s="33">
        <f>$F$445+$F$446+$F$448-$F$447-$F$449</f>
      </c>
      <c r="G450" s="33">
        <f>$G$445+$G$446+$G$448-$G$447-$G$449</f>
      </c>
      <c r="H450" s="33">
        <f>$H$445+$H$446+$H$448-$H$447-$H$449</f>
      </c>
      <c r="I450" s="33">
        <f>$I$445+$I$446+$I$448-$I$447-$I$449</f>
      </c>
      <c r="J450" s="33">
        <f>$J$445+$J$446+$J$448-$J$447-$J$449</f>
      </c>
    </row>
    <row r="451" spans="2:10" x14ac:dyDescent="0.25">
      <c r="B451" s="2" t="s">
        <v>1366</v>
      </c>
      <c r="C451" s="2" t="s">
        <v>14</v>
      </c>
      <c r="E451" s="20">
        <f>$E$450-$D$450</f>
      </c>
      <c r="F451" s="20">
        <f>$F$450-$E$450</f>
      </c>
      <c r="G451" s="20">
        <f>$G$450-$F$450</f>
      </c>
      <c r="H451" s="20">
        <f>$H$450-$G$450</f>
      </c>
      <c r="I451" s="20">
        <f>$I$450-$H$450</f>
      </c>
      <c r="J451" s="20">
        <f>$J$450-$I$450</f>
      </c>
    </row>
    <row r="452" spans="2:10" x14ac:dyDescent="0.25">
      <c r="B452" s="2" t="s">
        <v>1367</v>
      </c>
      <c r="C452" s="2" t="s">
        <v>14</v>
      </c>
      <c r="D452" s="20">
        <f>Inputs!$E$49</f>
      </c>
      <c r="E452" s="20">
        <f>$E$443+Inputs!$D$202*(1-$E$441)</f>
      </c>
      <c r="F452" s="20">
        <f>$F$443+Inputs!$D$202*(1-$F$441)</f>
      </c>
      <c r="G452" s="20">
        <f>$G$443+Inputs!$D$202*(1-$G$441)</f>
      </c>
      <c r="H452" s="20">
        <f>$H$443+Inputs!$D$202*(1-$H$441)</f>
      </c>
      <c r="I452" s="20">
        <f>$I$443+Inputs!$D$202*(1-$I$441)</f>
      </c>
      <c r="J452" s="20">
        <f>$J$443+Inputs!$D$202*(1-$J$441)</f>
      </c>
    </row>
    <row r="453" spans="2:10" x14ac:dyDescent="0.25">
      <c r="B453" s="2" t="s">
        <v>1368</v>
      </c>
      <c r="C453" s="2" t="s">
        <v>14</v>
      </c>
      <c r="E453" s="20">
        <f>IF(Inputs!$D$200=1,Inputs!$D$201*$D$452,0)</f>
      </c>
      <c r="F453" s="20">
        <f>IF(Inputs!$D$200=1,Inputs!$D$201*$E$452,0)</f>
      </c>
      <c r="G453" s="20">
        <f>IF(Inputs!$D$200=1,Inputs!$D$201*$F$452,0)</f>
      </c>
      <c r="H453" s="20">
        <f>IF(Inputs!$D$200=1,Inputs!$D$201*$G$452,0)</f>
      </c>
      <c r="I453" s="20">
        <f>IF(Inputs!$D$200=1,Inputs!$D$201*$H$452,0)</f>
      </c>
      <c r="J453" s="20">
        <f>IF(Inputs!$D$200=1,Inputs!$D$201*$I$452,0)</f>
      </c>
    </row>
    <row r="454" spans="2:10" x14ac:dyDescent="0.25">
      <c r="B454" s="9" t="s">
        <v>1369</v>
      </c>
      <c r="C454" s="2" t="s">
        <v>14</v>
      </c>
      <c r="E454" s="34">
        <f>$E$443+$E$437-$E$438-$E$451-$E$453</f>
      </c>
      <c r="F454" s="34">
        <f>$F$443+$F$437-$F$438-$F$451-$F$453</f>
      </c>
      <c r="G454" s="34">
        <f>$G$443+$G$437-$G$438-$G$451-$G$453</f>
      </c>
      <c r="H454" s="34">
        <f>$H$443+$H$437-$H$438-$H$451-$H$453</f>
      </c>
      <c r="I454" s="34">
        <f>$I$443+$I$437-$I$438-$I$451-$I$453</f>
      </c>
      <c r="J454" s="34">
        <f>$J$443+$J$437-$J$438-$J$451-$J$453</f>
      </c>
    </row>
    <row r="455" spans="2:9" x14ac:dyDescent="0.25">
      <c r="B455" s="2" t="s">
        <v>1370</v>
      </c>
      <c r="C455" s="2" t="s">
        <v>14</v>
      </c>
      <c r="E455" s="20">
        <f>$E$454*DCF!$D$10*(1+WACC!$D$54)^(-DCF!$D$12)</f>
      </c>
      <c r="F455" s="20">
        <f>$F$454*DCF!$E$10*(1+WACC!$D$54)^(-DCF!$E$12)</f>
      </c>
      <c r="G455" s="20">
        <f>$G$454*DCF!$F$10*(1+WACC!$D$54)^(-DCF!$F$12)</f>
      </c>
      <c r="H455" s="20">
        <f>$H$454*DCF!$G$10*(1+WACC!$D$54)^(-DCF!$G$12)</f>
      </c>
      <c r="I455" s="20">
        <f>$I$454*DCF!$H$10*(1+WACC!$D$54)^(-DCF!$H$12)</f>
      </c>
    </row>
    <row r="456" spans="2:4" x14ac:dyDescent="0.25">
      <c r="B456" s="2" t="s">
        <v>1371</v>
      </c>
      <c r="C456" s="2" t="s">
        <v>14</v>
      </c>
      <c r="D456" s="20">
        <f>SUM($E$455:$I$455)</f>
      </c>
    </row>
    <row r="457" spans="2:4" x14ac:dyDescent="0.25">
      <c r="B457" s="2" t="s">
        <v>1372</v>
      </c>
      <c r="C457" s="2" t="s">
        <v>14</v>
      </c>
      <c r="D457" s="20">
        <f>IF(Inputs!$D$171="gordon",IF(Inputs!$D$172&lt;WACC!$D$54,$J$454/(WACC!$D$54-Inputs!$D$172),"n/a"),$I$433*Inputs!$D$173)</f>
      </c>
    </row>
    <row r="458" spans="2:4" x14ac:dyDescent="0.25">
      <c r="B458" s="2" t="s">
        <v>1373</v>
      </c>
      <c r="C458" s="2" t="s">
        <v>14</v>
      </c>
      <c r="D458" s="33">
        <f>IFERROR($D$456+$D$457*(1+WACC!$D$54)^(-DCF!$D$21),"n/a")</f>
      </c>
    </row>
    <row r="459" spans="2:4" x14ac:dyDescent="0.25">
      <c r="B459" s="2" t="s">
        <v>1374</v>
      </c>
      <c r="C459" s="2" t="s">
        <v>14</v>
      </c>
      <c r="D459" s="20">
        <f>IFERROR($D$458+DCF!$D$51,"n/a")</f>
      </c>
    </row>
    <row r="460" spans="2:4" x14ac:dyDescent="0.25">
      <c r="B460" s="9" t="s">
        <v>1375</v>
      </c>
      <c r="C460" s="2" t="s">
        <v>14</v>
      </c>
      <c r="D460" s="40">
        <f>IFERROR($D$459/Inputs!$D$15,"n/a")</f>
      </c>
    </row>
    <row r="462" spans="2:5" x14ac:dyDescent="0.25">
      <c r="B462" s="2" t="s">
        <v>1376</v>
      </c>
      <c r="C462" s="2" t="s">
        <v>326</v>
      </c>
      <c r="D462" s="15">
        <f>Inputs!$F$237*Inputs!$D$233</f>
      </c>
      <c r="E462" s="15">
        <f>Inputs!$F$237*Inputs!$D$234</f>
      </c>
    </row>
    <row r="463" spans="2:10" x14ac:dyDescent="0.25">
      <c r="B463" s="9" t="s">
        <v>1377</v>
      </c>
      <c r="C463" s="2" t="s">
        <v>14</v>
      </c>
      <c r="D463" s="35">
        <f>Inputs!$E$23</f>
      </c>
      <c r="E463" s="35">
        <f>$D$463*(1+(Inputs!$D$182+$D$462))</f>
      </c>
      <c r="F463" s="35">
        <f>$E$463*(1+(Inputs!$E$182+$D$462))</f>
      </c>
      <c r="G463" s="35">
        <f>$F$463*(1+(Inputs!$F$182+$D$462))</f>
      </c>
      <c r="H463" s="35">
        <f>$G$463*(1+(Inputs!$G$182+$D$462))</f>
      </c>
      <c r="I463" s="35">
        <f>$H$463*(1+(Inputs!$H$182+$D$462))</f>
      </c>
      <c r="J463" s="35">
        <f>$I$463*(1+Inputs!$D$172)</f>
      </c>
    </row>
    <row r="464" spans="2:10" x14ac:dyDescent="0.25">
      <c r="B464" s="2" t="s">
        <v>1378</v>
      </c>
      <c r="C464" s="2" t="s">
        <v>14</v>
      </c>
      <c r="D464" s="20">
        <f>$D$463*((Inputs!$E$26+Inputs!$E$51+Inputs!$E$52)/$D$463)</f>
      </c>
      <c r="E464" s="20">
        <f>$E$463*(Inputs!$D$183+$E$462)</f>
      </c>
      <c r="F464" s="20">
        <f>$F$463*(Inputs!$E$183+$E$462)</f>
      </c>
      <c r="G464" s="20">
        <f>$G$463*(Inputs!$F$183+$E$462)</f>
      </c>
      <c r="H464" s="20">
        <f>$H$463*(Inputs!$G$183+$E$462)</f>
      </c>
      <c r="I464" s="20">
        <f>$I$463*(Inputs!$H$183+$E$462)</f>
      </c>
      <c r="J464" s="20">
        <f>$J$463*(Inputs!$I$183+$E$462)</f>
      </c>
    </row>
    <row r="465" spans="2:10" x14ac:dyDescent="0.25">
      <c r="B465" s="2" t="s">
        <v>1379</v>
      </c>
      <c r="C465" s="2" t="s">
        <v>14</v>
      </c>
      <c r="D465" s="20">
        <f>-(Inputs!$E$29+Inputs!$E$30)</f>
      </c>
      <c r="E465" s="20">
        <f>$E$463*Inputs!$D$184</f>
      </c>
      <c r="F465" s="20">
        <f>$F$463*Inputs!$E$184</f>
      </c>
      <c r="G465" s="20">
        <f>$G$463*Inputs!$F$184</f>
      </c>
      <c r="H465" s="20">
        <f>$H$463*Inputs!$G$184</f>
      </c>
      <c r="I465" s="20">
        <f>$I$463*Inputs!$H$184</f>
      </c>
      <c r="J465" s="20">
        <f>$J$463*Inputs!$I$184</f>
      </c>
    </row>
    <row r="466" spans="2:10" x14ac:dyDescent="0.25">
      <c r="B466" s="2" t="s">
        <v>1380</v>
      </c>
      <c r="C466" s="2" t="s">
        <v>14</v>
      </c>
      <c r="D466" s="20">
        <f>Normalization!$D$13-Inputs!$E$26-Inputs!$E$29-Inputs!$E$30</f>
      </c>
      <c r="E466" s="20">
        <f>$E$463*Inputs!$D$185</f>
      </c>
      <c r="F466" s="20">
        <f>$F$463*Inputs!$E$185</f>
      </c>
      <c r="G466" s="20">
        <f>$G$463*Inputs!$F$185</f>
      </c>
      <c r="H466" s="20">
        <f>$H$463*Inputs!$G$185</f>
      </c>
      <c r="I466" s="20">
        <f>$I$463*Inputs!$H$185</f>
      </c>
      <c r="J466" s="20">
        <f>$J$463*Inputs!$I$185</f>
      </c>
    </row>
    <row r="467" spans="2:10" x14ac:dyDescent="0.25">
      <c r="B467" s="9" t="s">
        <v>1381</v>
      </c>
      <c r="C467" s="2" t="s">
        <v>14</v>
      </c>
      <c r="D467" s="34">
        <f>$D$464-$D$465+$D$466</f>
      </c>
      <c r="E467" s="34">
        <f>$E$464-$E$465+$E$466</f>
      </c>
      <c r="F467" s="34">
        <f>$F$464-$F$465+$F$466</f>
      </c>
      <c r="G467" s="34">
        <f>$G$464-$G$465+$G$466</f>
      </c>
      <c r="H467" s="34">
        <f>$H$464-$H$465+$H$466</f>
      </c>
      <c r="I467" s="34">
        <f>$I$464-$I$465+$I$466</f>
      </c>
      <c r="J467" s="34">
        <f>$J$464-$J$465+$J$466</f>
      </c>
    </row>
    <row r="468" spans="2:10" x14ac:dyDescent="0.25">
      <c r="B468" s="2" t="s">
        <v>1382</v>
      </c>
      <c r="C468" s="2" t="s">
        <v>14</v>
      </c>
      <c r="E468" s="20">
        <f>Inputs!$E$57</f>
      </c>
      <c r="F468" s="20">
        <f>$E$473</f>
      </c>
      <c r="G468" s="20">
        <f>$F$473</f>
      </c>
      <c r="H468" s="20">
        <f>$G$473</f>
      </c>
      <c r="I468" s="20">
        <f>$H$473</f>
      </c>
      <c r="J468" s="20">
        <f>$I$473</f>
      </c>
    </row>
    <row r="469" spans="2:10" x14ac:dyDescent="0.25">
      <c r="B469" s="2" t="s">
        <v>1383</v>
      </c>
      <c r="C469" s="2" t="s">
        <v>14</v>
      </c>
      <c r="D469" s="20">
        <f>Inputs!$E$51</f>
      </c>
      <c r="E469" s="20">
        <f>IF(Inputs!$D$180="ppe_rollforward",Inputs!$D$187*$E$468,$E$463*Inputs!$D$186)</f>
      </c>
      <c r="F469" s="20">
        <f>IF(Inputs!$D$180="ppe_rollforward",Inputs!$E$187*$F$468,$F$463*Inputs!$E$186)</f>
      </c>
      <c r="G469" s="20">
        <f>IF(Inputs!$D$180="ppe_rollforward",Inputs!$F$187*$G$468,$G$463*Inputs!$F$186)</f>
      </c>
      <c r="H469" s="20">
        <f>IF(Inputs!$D$180="ppe_rollforward",Inputs!$G$187*$H$468,$H$463*Inputs!$G$186)</f>
      </c>
      <c r="I469" s="20">
        <f>IF(Inputs!$D$180="ppe_rollforward",Inputs!$H$187*$I$468,$I$463*Inputs!$H$186)</f>
      </c>
      <c r="J469" s="20">
        <f>IF(Inputs!$D$180="ppe_rollforward",Inputs!$I$187*$J$468,$J$463*Inputs!$I$186)</f>
      </c>
    </row>
    <row r="470" spans="2:10" x14ac:dyDescent="0.25">
      <c r="B470" s="2" t="s">
        <v>1384</v>
      </c>
      <c r="C470" s="2" t="s">
        <v>14</v>
      </c>
      <c r="D470" s="20">
        <f>Inputs!$E$52</f>
      </c>
      <c r="E470" s="20">
        <f>IF(Inputs!$D$180="ppe_rollforward",$E$463*Inputs!$D$188,0)</f>
      </c>
      <c r="F470" s="20">
        <f>IF(Inputs!$D$180="ppe_rollforward",$F$463*Inputs!$E$188,0)</f>
      </c>
      <c r="G470" s="20">
        <f>IF(Inputs!$D$180="ppe_rollforward",$G$463*Inputs!$F$188,0)</f>
      </c>
      <c r="H470" s="20">
        <f>IF(Inputs!$D$180="ppe_rollforward",$H$463*Inputs!$G$188,0)</f>
      </c>
      <c r="I470" s="20">
        <f>IF(Inputs!$D$180="ppe_rollforward",$I$463*Inputs!$H$188,0)</f>
      </c>
      <c r="J470" s="20">
        <f>IF(Inputs!$D$180="ppe_rollforward",$J$463*Inputs!$I$188,0)</f>
      </c>
    </row>
    <row r="471" spans="2:10" x14ac:dyDescent="0.25">
      <c r="B471" s="2" t="s">
        <v>1385</v>
      </c>
      <c r="C471" s="2" t="s">
        <v>14</v>
      </c>
      <c r="D471" s="20">
        <f>$D$469+$D$470</f>
      </c>
      <c r="E471" s="20">
        <f>$E$469+$E$470</f>
      </c>
      <c r="F471" s="20">
        <f>$F$469+$F$470</f>
      </c>
      <c r="G471" s="20">
        <f>$G$469+$G$470</f>
      </c>
      <c r="H471" s="20">
        <f>$H$469+$H$470</f>
      </c>
      <c r="I471" s="20">
        <f>$I$469+$I$470</f>
      </c>
      <c r="J471" s="20">
        <f>$J$469+$J$470</f>
      </c>
    </row>
    <row r="472" spans="2:10" x14ac:dyDescent="0.25">
      <c r="B472" s="2" t="s">
        <v>1386</v>
      </c>
      <c r="C472" s="2" t="s">
        <v>14</v>
      </c>
      <c r="D472" s="20">
        <f>-Inputs!$E$111</f>
      </c>
      <c r="E472" s="20">
        <f>IF(Inputs!$D$181="absolute",Inputs!$D$190,$E$463*Inputs!$D$189)</f>
      </c>
      <c r="F472" s="20">
        <f>IF(Inputs!$D$181="absolute",Inputs!$E$190,$F$463*Inputs!$E$189)</f>
      </c>
      <c r="G472" s="20">
        <f>IF(Inputs!$D$181="absolute",Inputs!$F$190,$G$463*Inputs!$F$189)</f>
      </c>
      <c r="H472" s="20">
        <f>IF(Inputs!$D$181="absolute",Inputs!$G$190,$H$463*Inputs!$G$189)</f>
      </c>
      <c r="I472" s="20">
        <f>IF(Inputs!$D$181="absolute",Inputs!$H$190,$I$463*Inputs!$H$189)</f>
      </c>
      <c r="J472" s="20">
        <f>$J$463*Inputs!$I$189</f>
      </c>
    </row>
    <row r="473" spans="2:10" x14ac:dyDescent="0.25">
      <c r="B473" s="2" t="s">
        <v>1387</v>
      </c>
      <c r="C473" s="2" t="s">
        <v>14</v>
      </c>
      <c r="D473" s="20">
        <f>Inputs!$E$57</f>
      </c>
      <c r="E473" s="20">
        <f>$E$468+$E$472-$E$469</f>
      </c>
      <c r="F473" s="20">
        <f>$F$468+$F$472-$F$469</f>
      </c>
      <c r="G473" s="20">
        <f>$G$468+$G$472-$G$469</f>
      </c>
      <c r="H473" s="20">
        <f>$H$468+$H$472-$H$469</f>
      </c>
      <c r="I473" s="20">
        <f>$I$468+$I$472-$I$469</f>
      </c>
      <c r="J473" s="20">
        <f>$J$468+$J$472-$J$469</f>
      </c>
    </row>
    <row r="474" spans="2:10" x14ac:dyDescent="0.25">
      <c r="B474" s="9" t="s">
        <v>1388</v>
      </c>
      <c r="C474" s="2" t="s">
        <v>14</v>
      </c>
      <c r="D474" s="35">
        <f>$D$467-$D$471</f>
      </c>
      <c r="E474" s="35">
        <f>$E$467-$E$471</f>
      </c>
      <c r="F474" s="35">
        <f>$F$467-$F$471</f>
      </c>
      <c r="G474" s="35">
        <f>$G$467-$G$471</f>
      </c>
      <c r="H474" s="35">
        <f>$H$467-$H$471</f>
      </c>
      <c r="I474" s="35">
        <f>$I$467-$I$471</f>
      </c>
      <c r="J474" s="35">
        <f>$J$467-$J$471</f>
      </c>
    </row>
    <row r="475" spans="2:10" x14ac:dyDescent="0.25">
      <c r="B475" s="2" t="s">
        <v>1389</v>
      </c>
      <c r="C475" s="2" t="s">
        <v>54</v>
      </c>
      <c r="D475" s="11">
        <f>Inputs!$D$133</f>
      </c>
      <c r="E475" s="11">
        <f>Inputs!$D$196</f>
      </c>
      <c r="F475" s="11">
        <f>Inputs!$E$196</f>
      </c>
      <c r="G475" s="11">
        <f>Inputs!$F$196</f>
      </c>
      <c r="H475" s="11">
        <f>Inputs!$G$196</f>
      </c>
      <c r="I475" s="11">
        <f>Inputs!$H$196</f>
      </c>
      <c r="J475" s="11">
        <f>Inputs!$I$196</f>
      </c>
    </row>
    <row r="476" spans="2:10" x14ac:dyDescent="0.25">
      <c r="B476" s="2" t="s">
        <v>1390</v>
      </c>
      <c r="C476" s="2" t="s">
        <v>14</v>
      </c>
      <c r="D476" s="20">
        <f>$D$474*$D$475</f>
      </c>
      <c r="E476" s="20">
        <f>$E$474*$E$475</f>
      </c>
      <c r="F476" s="20">
        <f>$F$474*$F$475</f>
      </c>
      <c r="G476" s="20">
        <f>$G$474*$G$475</f>
      </c>
      <c r="H476" s="20">
        <f>$H$474*$H$475</f>
      </c>
      <c r="I476" s="20">
        <f>$I$474*$I$475</f>
      </c>
      <c r="J476" s="20">
        <f>$J$474*$J$475</f>
      </c>
    </row>
    <row r="477" spans="2:10" x14ac:dyDescent="0.25">
      <c r="B477" s="2" t="s">
        <v>1391</v>
      </c>
      <c r="C477" s="2" t="s">
        <v>14</v>
      </c>
      <c r="D477" s="33">
        <f>$D$474-$D$476</f>
      </c>
      <c r="E477" s="33">
        <f>$E$474-$E$476</f>
      </c>
      <c r="F477" s="33">
        <f>$F$474-$F$476</f>
      </c>
      <c r="G477" s="33">
        <f>$G$474-$G$476</f>
      </c>
      <c r="H477" s="33">
        <f>$H$474-$H$476</f>
      </c>
      <c r="I477" s="33">
        <f>$I$474-$I$476</f>
      </c>
      <c r="J477" s="33">
        <f>$J$474-$J$476</f>
      </c>
    </row>
    <row r="478" spans="2:10" x14ac:dyDescent="0.25">
      <c r="B478" s="2" t="s">
        <v>1392</v>
      </c>
      <c r="C478" s="2" t="s">
        <v>14</v>
      </c>
      <c r="D478" s="20">
        <f>$D$463*(1-((Inputs!$E$26+Inputs!$E$51+Inputs!$E$52)/$D$463))</f>
      </c>
      <c r="E478" s="20">
        <f>$E$463*(1-(Inputs!$D$183+$E$462))</f>
      </c>
      <c r="F478" s="20">
        <f>$F$463*(1-(Inputs!$E$183+$E$462))</f>
      </c>
      <c r="G478" s="20">
        <f>$G$463*(1-(Inputs!$F$183+$E$462))</f>
      </c>
      <c r="H478" s="20">
        <f>$H$463*(1-(Inputs!$G$183+$E$462))</f>
      </c>
      <c r="I478" s="20">
        <f>$I$463*(1-(Inputs!$H$183+$E$462))</f>
      </c>
      <c r="J478" s="20">
        <f>$J$463*(1-(Inputs!$I$183+$E$462))</f>
      </c>
    </row>
    <row r="479" spans="2:10" x14ac:dyDescent="0.25">
      <c r="B479" s="2" t="s">
        <v>1393</v>
      </c>
      <c r="C479" s="2" t="s">
        <v>14</v>
      </c>
      <c r="D479" s="20">
        <f>Inputs!$E$67</f>
      </c>
      <c r="E479" s="20">
        <f>$E$463*Inputs!$D$191/Inputs!$D$18</f>
      </c>
      <c r="F479" s="20">
        <f>$F$463*Inputs!$E$191/Inputs!$D$18</f>
      </c>
      <c r="G479" s="20">
        <f>$G$463*Inputs!$F$191/Inputs!$D$18</f>
      </c>
      <c r="H479" s="20">
        <f>$H$463*Inputs!$G$191/Inputs!$D$18</f>
      </c>
      <c r="I479" s="20">
        <f>$I$463*Inputs!$H$191/Inputs!$D$18</f>
      </c>
      <c r="J479" s="20">
        <f>$J$463*Inputs!$I$191/Inputs!$D$18</f>
      </c>
    </row>
    <row r="480" spans="2:10" x14ac:dyDescent="0.25">
      <c r="B480" s="2" t="s">
        <v>1394</v>
      </c>
      <c r="C480" s="2" t="s">
        <v>14</v>
      </c>
      <c r="D480" s="20">
        <f>Inputs!$E$66</f>
      </c>
      <c r="E480" s="20">
        <f>$E$478*Inputs!$D$192/Inputs!$D$18</f>
      </c>
      <c r="F480" s="20">
        <f>$F$478*Inputs!$E$192/Inputs!$D$18</f>
      </c>
      <c r="G480" s="20">
        <f>$G$478*Inputs!$F$192/Inputs!$D$18</f>
      </c>
      <c r="H480" s="20">
        <f>$H$478*Inputs!$G$192/Inputs!$D$18</f>
      </c>
      <c r="I480" s="20">
        <f>$I$478*Inputs!$H$192/Inputs!$D$18</f>
      </c>
      <c r="J480" s="20">
        <f>$J$478*Inputs!$I$192/Inputs!$D$18</f>
      </c>
    </row>
    <row r="481" spans="2:10" x14ac:dyDescent="0.25">
      <c r="B481" s="2" t="s">
        <v>1395</v>
      </c>
      <c r="C481" s="2" t="s">
        <v>14</v>
      </c>
      <c r="D481" s="20">
        <f>Inputs!$E$93</f>
      </c>
      <c r="E481" s="20">
        <f>$E$478*Inputs!$D$193/Inputs!$D$18</f>
      </c>
      <c r="F481" s="20">
        <f>$F$478*Inputs!$E$193/Inputs!$D$18</f>
      </c>
      <c r="G481" s="20">
        <f>$G$478*Inputs!$F$193/Inputs!$D$18</f>
      </c>
      <c r="H481" s="20">
        <f>$H$478*Inputs!$G$193/Inputs!$D$18</f>
      </c>
      <c r="I481" s="20">
        <f>$I$478*Inputs!$H$193/Inputs!$D$18</f>
      </c>
      <c r="J481" s="20">
        <f>$J$478*Inputs!$I$193/Inputs!$D$18</f>
      </c>
    </row>
    <row r="482" spans="2:10" x14ac:dyDescent="0.25">
      <c r="B482" s="2" t="s">
        <v>1396</v>
      </c>
      <c r="C482" s="2" t="s">
        <v>14</v>
      </c>
      <c r="D482" s="20">
        <f>Inputs!$E$70+Inputs!$E$72+Inputs!$E$71</f>
      </c>
      <c r="E482" s="20">
        <f>$E$463*Inputs!$D$194</f>
      </c>
      <c r="F482" s="20">
        <f>$F$463*Inputs!$E$194</f>
      </c>
      <c r="G482" s="20">
        <f>$G$463*Inputs!$F$194</f>
      </c>
      <c r="H482" s="20">
        <f>$H$463*Inputs!$G$194</f>
      </c>
      <c r="I482" s="20">
        <f>$I$463*Inputs!$H$194</f>
      </c>
      <c r="J482" s="20">
        <f>$J$463*Inputs!$I$194</f>
      </c>
    </row>
    <row r="483" spans="2:10" x14ac:dyDescent="0.25">
      <c r="B483" s="2" t="s">
        <v>1397</v>
      </c>
      <c r="C483" s="2" t="s">
        <v>14</v>
      </c>
      <c r="D483" s="20">
        <f>Inputs!$E$94+Inputs!$E$95+Inputs!$E$97+Inputs!$E$98+Inputs!$E$99</f>
      </c>
      <c r="E483" s="20">
        <f>$E$463*Inputs!$D$195</f>
      </c>
      <c r="F483" s="20">
        <f>$F$463*Inputs!$E$195</f>
      </c>
      <c r="G483" s="20">
        <f>$G$463*Inputs!$F$195</f>
      </c>
      <c r="H483" s="20">
        <f>$H$463*Inputs!$G$195</f>
      </c>
      <c r="I483" s="20">
        <f>$I$463*Inputs!$H$195</f>
      </c>
      <c r="J483" s="20">
        <f>$J$463*Inputs!$I$195</f>
      </c>
    </row>
    <row r="484" spans="2:10" x14ac:dyDescent="0.25">
      <c r="B484" s="2" t="s">
        <v>1398</v>
      </c>
      <c r="C484" s="2" t="s">
        <v>14</v>
      </c>
      <c r="D484" s="33">
        <f>$D$479+$D$480+$D$482-$D$481-$D$483</f>
      </c>
      <c r="E484" s="33">
        <f>$E$479+$E$480+$E$482-$E$481-$E$483</f>
      </c>
      <c r="F484" s="33">
        <f>$F$479+$F$480+$F$482-$F$481-$F$483</f>
      </c>
      <c r="G484" s="33">
        <f>$G$479+$G$480+$G$482-$G$481-$G$483</f>
      </c>
      <c r="H484" s="33">
        <f>$H$479+$H$480+$H$482-$H$481-$H$483</f>
      </c>
      <c r="I484" s="33">
        <f>$I$479+$I$480+$I$482-$I$481-$I$483</f>
      </c>
      <c r="J484" s="33">
        <f>$J$479+$J$480+$J$482-$J$481-$J$483</f>
      </c>
    </row>
    <row r="485" spans="2:10" x14ac:dyDescent="0.25">
      <c r="B485" s="2" t="s">
        <v>1399</v>
      </c>
      <c r="C485" s="2" t="s">
        <v>14</v>
      </c>
      <c r="E485" s="20">
        <f>$E$484-$D$484</f>
      </c>
      <c r="F485" s="20">
        <f>$F$484-$E$484</f>
      </c>
      <c r="G485" s="20">
        <f>$G$484-$F$484</f>
      </c>
      <c r="H485" s="20">
        <f>$H$484-$G$484</f>
      </c>
      <c r="I485" s="20">
        <f>$I$484-$H$484</f>
      </c>
      <c r="J485" s="20">
        <f>$J$484-$I$484</f>
      </c>
    </row>
    <row r="486" spans="2:10" x14ac:dyDescent="0.25">
      <c r="B486" s="2" t="s">
        <v>1400</v>
      </c>
      <c r="C486" s="2" t="s">
        <v>14</v>
      </c>
      <c r="D486" s="20">
        <f>Inputs!$E$49</f>
      </c>
      <c r="E486" s="20">
        <f>$E$477+Inputs!$D$202*(1-$E$475)</f>
      </c>
      <c r="F486" s="20">
        <f>$F$477+Inputs!$D$202*(1-$F$475)</f>
      </c>
      <c r="G486" s="20">
        <f>$G$477+Inputs!$D$202*(1-$G$475)</f>
      </c>
      <c r="H486" s="20">
        <f>$H$477+Inputs!$D$202*(1-$H$475)</f>
      </c>
      <c r="I486" s="20">
        <f>$I$477+Inputs!$D$202*(1-$I$475)</f>
      </c>
      <c r="J486" s="20">
        <f>$J$477+Inputs!$D$202*(1-$J$475)</f>
      </c>
    </row>
    <row r="487" spans="2:10" x14ac:dyDescent="0.25">
      <c r="B487" s="2" t="s">
        <v>1401</v>
      </c>
      <c r="C487" s="2" t="s">
        <v>14</v>
      </c>
      <c r="E487" s="20">
        <f>IF(Inputs!$D$200=1,Inputs!$D$201*$D$486,0)</f>
      </c>
      <c r="F487" s="20">
        <f>IF(Inputs!$D$200=1,Inputs!$D$201*$E$486,0)</f>
      </c>
      <c r="G487" s="20">
        <f>IF(Inputs!$D$200=1,Inputs!$D$201*$F$486,0)</f>
      </c>
      <c r="H487" s="20">
        <f>IF(Inputs!$D$200=1,Inputs!$D$201*$G$486,0)</f>
      </c>
      <c r="I487" s="20">
        <f>IF(Inputs!$D$200=1,Inputs!$D$201*$H$486,0)</f>
      </c>
      <c r="J487" s="20">
        <f>IF(Inputs!$D$200=1,Inputs!$D$201*$I$486,0)</f>
      </c>
    </row>
    <row r="488" spans="2:10" x14ac:dyDescent="0.25">
      <c r="B488" s="9" t="s">
        <v>1402</v>
      </c>
      <c r="C488" s="2" t="s">
        <v>14</v>
      </c>
      <c r="E488" s="34">
        <f>$E$477+$E$471-$E$472-$E$485-$E$487</f>
      </c>
      <c r="F488" s="34">
        <f>$F$477+$F$471-$F$472-$F$485-$F$487</f>
      </c>
      <c r="G488" s="34">
        <f>$G$477+$G$471-$G$472-$G$485-$G$487</f>
      </c>
      <c r="H488" s="34">
        <f>$H$477+$H$471-$H$472-$H$485-$H$487</f>
      </c>
      <c r="I488" s="34">
        <f>$I$477+$I$471-$I$472-$I$485-$I$487</f>
      </c>
      <c r="J488" s="34">
        <f>$J$477+$J$471-$J$472-$J$485-$J$487</f>
      </c>
    </row>
    <row r="489" spans="2:9" x14ac:dyDescent="0.25">
      <c r="B489" s="2" t="s">
        <v>1403</v>
      </c>
      <c r="C489" s="2" t="s">
        <v>14</v>
      </c>
      <c r="E489" s="20">
        <f>$E$488*DCF!$D$10*(1+WACC!$D$54)^(-DCF!$D$12)</f>
      </c>
      <c r="F489" s="20">
        <f>$F$488*DCF!$E$10*(1+WACC!$D$54)^(-DCF!$E$12)</f>
      </c>
      <c r="G489" s="20">
        <f>$G$488*DCF!$F$10*(1+WACC!$D$54)^(-DCF!$F$12)</f>
      </c>
      <c r="H489" s="20">
        <f>$H$488*DCF!$G$10*(1+WACC!$D$54)^(-DCF!$G$12)</f>
      </c>
      <c r="I489" s="20">
        <f>$I$488*DCF!$H$10*(1+WACC!$D$54)^(-DCF!$H$12)</f>
      </c>
    </row>
    <row r="490" spans="2:4" x14ac:dyDescent="0.25">
      <c r="B490" s="2" t="s">
        <v>1404</v>
      </c>
      <c r="C490" s="2" t="s">
        <v>14</v>
      </c>
      <c r="D490" s="20">
        <f>SUM($E$489:$I$489)</f>
      </c>
    </row>
    <row r="491" spans="2:4" x14ac:dyDescent="0.25">
      <c r="B491" s="2" t="s">
        <v>1405</v>
      </c>
      <c r="C491" s="2" t="s">
        <v>14</v>
      </c>
      <c r="D491" s="20">
        <f>IF(Inputs!$D$171="gordon",IF(Inputs!$D$172&lt;WACC!$D$54,$J$488/(WACC!$D$54-Inputs!$D$172),"n/a"),$I$467*Inputs!$D$173)</f>
      </c>
    </row>
    <row r="492" spans="2:4" x14ac:dyDescent="0.25">
      <c r="B492" s="2" t="s">
        <v>1406</v>
      </c>
      <c r="C492" s="2" t="s">
        <v>14</v>
      </c>
      <c r="D492" s="33">
        <f>IFERROR($D$490+$D$491*(1+WACC!$D$54)^(-DCF!$D$21),"n/a")</f>
      </c>
    </row>
    <row r="493" spans="2:4" x14ac:dyDescent="0.25">
      <c r="B493" s="2" t="s">
        <v>1407</v>
      </c>
      <c r="C493" s="2" t="s">
        <v>14</v>
      </c>
      <c r="D493" s="20">
        <f>IFERROR($D$492+DCF!$D$51,"n/a")</f>
      </c>
    </row>
    <row r="494" spans="2:4" x14ac:dyDescent="0.25">
      <c r="B494" s="9" t="s">
        <v>1408</v>
      </c>
      <c r="C494" s="2" t="s">
        <v>14</v>
      </c>
      <c r="D494" s="40">
        <f>IFERROR($D$493/Inputs!$D$15,"n/a")</f>
      </c>
    </row>
    <row r="496" spans="2:5" x14ac:dyDescent="0.25">
      <c r="B496" s="2" t="s">
        <v>1409</v>
      </c>
      <c r="C496" s="2" t="s">
        <v>326</v>
      </c>
      <c r="D496" s="15">
        <f>Inputs!$F$237*Inputs!$D$233</f>
      </c>
      <c r="E496" s="15">
        <f>Inputs!$G$237*Inputs!$D$234</f>
      </c>
    </row>
    <row r="497" spans="2:10" x14ac:dyDescent="0.25">
      <c r="B497" s="9" t="s">
        <v>1410</v>
      </c>
      <c r="C497" s="2" t="s">
        <v>14</v>
      </c>
      <c r="D497" s="35">
        <f>Inputs!$E$23</f>
      </c>
      <c r="E497" s="35">
        <f>$D$497*(1+(Inputs!$D$182+$D$496))</f>
      </c>
      <c r="F497" s="35">
        <f>$E$497*(1+(Inputs!$E$182+$D$496))</f>
      </c>
      <c r="G497" s="35">
        <f>$F$497*(1+(Inputs!$F$182+$D$496))</f>
      </c>
      <c r="H497" s="35">
        <f>$G$497*(1+(Inputs!$G$182+$D$496))</f>
      </c>
      <c r="I497" s="35">
        <f>$H$497*(1+(Inputs!$H$182+$D$496))</f>
      </c>
      <c r="J497" s="35">
        <f>$I$497*(1+Inputs!$D$172)</f>
      </c>
    </row>
    <row r="498" spans="2:10" x14ac:dyDescent="0.25">
      <c r="B498" s="2" t="s">
        <v>1411</v>
      </c>
      <c r="C498" s="2" t="s">
        <v>14</v>
      </c>
      <c r="D498" s="20">
        <f>$D$497*((Inputs!$E$26+Inputs!$E$51+Inputs!$E$52)/$D$497)</f>
      </c>
      <c r="E498" s="20">
        <f>$E$497*(Inputs!$D$183+$E$496)</f>
      </c>
      <c r="F498" s="20">
        <f>$F$497*(Inputs!$E$183+$E$496)</f>
      </c>
      <c r="G498" s="20">
        <f>$G$497*(Inputs!$F$183+$E$496)</f>
      </c>
      <c r="H498" s="20">
        <f>$H$497*(Inputs!$G$183+$E$496)</f>
      </c>
      <c r="I498" s="20">
        <f>$I$497*(Inputs!$H$183+$E$496)</f>
      </c>
      <c r="J498" s="20">
        <f>$J$497*(Inputs!$I$183+$E$496)</f>
      </c>
    </row>
    <row r="499" spans="2:10" x14ac:dyDescent="0.25">
      <c r="B499" s="2" t="s">
        <v>1412</v>
      </c>
      <c r="C499" s="2" t="s">
        <v>14</v>
      </c>
      <c r="D499" s="20">
        <f>-(Inputs!$E$29+Inputs!$E$30)</f>
      </c>
      <c r="E499" s="20">
        <f>$E$497*Inputs!$D$184</f>
      </c>
      <c r="F499" s="20">
        <f>$F$497*Inputs!$E$184</f>
      </c>
      <c r="G499" s="20">
        <f>$G$497*Inputs!$F$184</f>
      </c>
      <c r="H499" s="20">
        <f>$H$497*Inputs!$G$184</f>
      </c>
      <c r="I499" s="20">
        <f>$I$497*Inputs!$H$184</f>
      </c>
      <c r="J499" s="20">
        <f>$J$497*Inputs!$I$184</f>
      </c>
    </row>
    <row r="500" spans="2:10" x14ac:dyDescent="0.25">
      <c r="B500" s="2" t="s">
        <v>1413</v>
      </c>
      <c r="C500" s="2" t="s">
        <v>14</v>
      </c>
      <c r="D500" s="20">
        <f>Normalization!$D$13-Inputs!$E$26-Inputs!$E$29-Inputs!$E$30</f>
      </c>
      <c r="E500" s="20">
        <f>$E$497*Inputs!$D$185</f>
      </c>
      <c r="F500" s="20">
        <f>$F$497*Inputs!$E$185</f>
      </c>
      <c r="G500" s="20">
        <f>$G$497*Inputs!$F$185</f>
      </c>
      <c r="H500" s="20">
        <f>$H$497*Inputs!$G$185</f>
      </c>
      <c r="I500" s="20">
        <f>$I$497*Inputs!$H$185</f>
      </c>
      <c r="J500" s="20">
        <f>$J$497*Inputs!$I$185</f>
      </c>
    </row>
    <row r="501" spans="2:10" x14ac:dyDescent="0.25">
      <c r="B501" s="9" t="s">
        <v>1414</v>
      </c>
      <c r="C501" s="2" t="s">
        <v>14</v>
      </c>
      <c r="D501" s="34">
        <f>$D$498-$D$499+$D$500</f>
      </c>
      <c r="E501" s="34">
        <f>$E$498-$E$499+$E$500</f>
      </c>
      <c r="F501" s="34">
        <f>$F$498-$F$499+$F$500</f>
      </c>
      <c r="G501" s="34">
        <f>$G$498-$G$499+$G$500</f>
      </c>
      <c r="H501" s="34">
        <f>$H$498-$H$499+$H$500</f>
      </c>
      <c r="I501" s="34">
        <f>$I$498-$I$499+$I$500</f>
      </c>
      <c r="J501" s="34">
        <f>$J$498-$J$499+$J$500</f>
      </c>
    </row>
    <row r="502" spans="2:10" x14ac:dyDescent="0.25">
      <c r="B502" s="2" t="s">
        <v>1415</v>
      </c>
      <c r="C502" s="2" t="s">
        <v>14</v>
      </c>
      <c r="E502" s="20">
        <f>Inputs!$E$57</f>
      </c>
      <c r="F502" s="20">
        <f>$E$507</f>
      </c>
      <c r="G502" s="20">
        <f>$F$507</f>
      </c>
      <c r="H502" s="20">
        <f>$G$507</f>
      </c>
      <c r="I502" s="20">
        <f>$H$507</f>
      </c>
      <c r="J502" s="20">
        <f>$I$507</f>
      </c>
    </row>
    <row r="503" spans="2:10" x14ac:dyDescent="0.25">
      <c r="B503" s="2" t="s">
        <v>1416</v>
      </c>
      <c r="C503" s="2" t="s">
        <v>14</v>
      </c>
      <c r="D503" s="20">
        <f>Inputs!$E$51</f>
      </c>
      <c r="E503" s="20">
        <f>IF(Inputs!$D$180="ppe_rollforward",Inputs!$D$187*$E$502,$E$497*Inputs!$D$186)</f>
      </c>
      <c r="F503" s="20">
        <f>IF(Inputs!$D$180="ppe_rollforward",Inputs!$E$187*$F$502,$F$497*Inputs!$E$186)</f>
      </c>
      <c r="G503" s="20">
        <f>IF(Inputs!$D$180="ppe_rollforward",Inputs!$F$187*$G$502,$G$497*Inputs!$F$186)</f>
      </c>
      <c r="H503" s="20">
        <f>IF(Inputs!$D$180="ppe_rollforward",Inputs!$G$187*$H$502,$H$497*Inputs!$G$186)</f>
      </c>
      <c r="I503" s="20">
        <f>IF(Inputs!$D$180="ppe_rollforward",Inputs!$H$187*$I$502,$I$497*Inputs!$H$186)</f>
      </c>
      <c r="J503" s="20">
        <f>IF(Inputs!$D$180="ppe_rollforward",Inputs!$I$187*$J$502,$J$497*Inputs!$I$186)</f>
      </c>
    </row>
    <row r="504" spans="2:10" x14ac:dyDescent="0.25">
      <c r="B504" s="2" t="s">
        <v>1417</v>
      </c>
      <c r="C504" s="2" t="s">
        <v>14</v>
      </c>
      <c r="D504" s="20">
        <f>Inputs!$E$52</f>
      </c>
      <c r="E504" s="20">
        <f>IF(Inputs!$D$180="ppe_rollforward",$E$497*Inputs!$D$188,0)</f>
      </c>
      <c r="F504" s="20">
        <f>IF(Inputs!$D$180="ppe_rollforward",$F$497*Inputs!$E$188,0)</f>
      </c>
      <c r="G504" s="20">
        <f>IF(Inputs!$D$180="ppe_rollforward",$G$497*Inputs!$F$188,0)</f>
      </c>
      <c r="H504" s="20">
        <f>IF(Inputs!$D$180="ppe_rollforward",$H$497*Inputs!$G$188,0)</f>
      </c>
      <c r="I504" s="20">
        <f>IF(Inputs!$D$180="ppe_rollforward",$I$497*Inputs!$H$188,0)</f>
      </c>
      <c r="J504" s="20">
        <f>IF(Inputs!$D$180="ppe_rollforward",$J$497*Inputs!$I$188,0)</f>
      </c>
    </row>
    <row r="505" spans="2:10" x14ac:dyDescent="0.25">
      <c r="B505" s="2" t="s">
        <v>1418</v>
      </c>
      <c r="C505" s="2" t="s">
        <v>14</v>
      </c>
      <c r="D505" s="20">
        <f>$D$503+$D$504</f>
      </c>
      <c r="E505" s="20">
        <f>$E$503+$E$504</f>
      </c>
      <c r="F505" s="20">
        <f>$F$503+$F$504</f>
      </c>
      <c r="G505" s="20">
        <f>$G$503+$G$504</f>
      </c>
      <c r="H505" s="20">
        <f>$H$503+$H$504</f>
      </c>
      <c r="I505" s="20">
        <f>$I$503+$I$504</f>
      </c>
      <c r="J505" s="20">
        <f>$J$503+$J$504</f>
      </c>
    </row>
    <row r="506" spans="2:10" x14ac:dyDescent="0.25">
      <c r="B506" s="2" t="s">
        <v>1419</v>
      </c>
      <c r="C506" s="2" t="s">
        <v>14</v>
      </c>
      <c r="D506" s="20">
        <f>-Inputs!$E$111</f>
      </c>
      <c r="E506" s="20">
        <f>IF(Inputs!$D$181="absolute",Inputs!$D$190,$E$497*Inputs!$D$189)</f>
      </c>
      <c r="F506" s="20">
        <f>IF(Inputs!$D$181="absolute",Inputs!$E$190,$F$497*Inputs!$E$189)</f>
      </c>
      <c r="G506" s="20">
        <f>IF(Inputs!$D$181="absolute",Inputs!$F$190,$G$497*Inputs!$F$189)</f>
      </c>
      <c r="H506" s="20">
        <f>IF(Inputs!$D$181="absolute",Inputs!$G$190,$H$497*Inputs!$G$189)</f>
      </c>
      <c r="I506" s="20">
        <f>IF(Inputs!$D$181="absolute",Inputs!$H$190,$I$497*Inputs!$H$189)</f>
      </c>
      <c r="J506" s="20">
        <f>$J$497*Inputs!$I$189</f>
      </c>
    </row>
    <row r="507" spans="2:10" x14ac:dyDescent="0.25">
      <c r="B507" s="2" t="s">
        <v>1420</v>
      </c>
      <c r="C507" s="2" t="s">
        <v>14</v>
      </c>
      <c r="D507" s="20">
        <f>Inputs!$E$57</f>
      </c>
      <c r="E507" s="20">
        <f>$E$502+$E$506-$E$503</f>
      </c>
      <c r="F507" s="20">
        <f>$F$502+$F$506-$F$503</f>
      </c>
      <c r="G507" s="20">
        <f>$G$502+$G$506-$G$503</f>
      </c>
      <c r="H507" s="20">
        <f>$H$502+$H$506-$H$503</f>
      </c>
      <c r="I507" s="20">
        <f>$I$502+$I$506-$I$503</f>
      </c>
      <c r="J507" s="20">
        <f>$J$502+$J$506-$J$503</f>
      </c>
    </row>
    <row r="508" spans="2:10" x14ac:dyDescent="0.25">
      <c r="B508" s="9" t="s">
        <v>1421</v>
      </c>
      <c r="C508" s="2" t="s">
        <v>14</v>
      </c>
      <c r="D508" s="35">
        <f>$D$501-$D$505</f>
      </c>
      <c r="E508" s="35">
        <f>$E$501-$E$505</f>
      </c>
      <c r="F508" s="35">
        <f>$F$501-$F$505</f>
      </c>
      <c r="G508" s="35">
        <f>$G$501-$G$505</f>
      </c>
      <c r="H508" s="35">
        <f>$H$501-$H$505</f>
      </c>
      <c r="I508" s="35">
        <f>$I$501-$I$505</f>
      </c>
      <c r="J508" s="35">
        <f>$J$501-$J$505</f>
      </c>
    </row>
    <row r="509" spans="2:10" x14ac:dyDescent="0.25">
      <c r="B509" s="2" t="s">
        <v>1422</v>
      </c>
      <c r="C509" s="2" t="s">
        <v>54</v>
      </c>
      <c r="D509" s="11">
        <f>Inputs!$D$133</f>
      </c>
      <c r="E509" s="11">
        <f>Inputs!$D$196</f>
      </c>
      <c r="F509" s="11">
        <f>Inputs!$E$196</f>
      </c>
      <c r="G509" s="11">
        <f>Inputs!$F$196</f>
      </c>
      <c r="H509" s="11">
        <f>Inputs!$G$196</f>
      </c>
      <c r="I509" s="11">
        <f>Inputs!$H$196</f>
      </c>
      <c r="J509" s="11">
        <f>Inputs!$I$196</f>
      </c>
    </row>
    <row r="510" spans="2:10" x14ac:dyDescent="0.25">
      <c r="B510" s="2" t="s">
        <v>1423</v>
      </c>
      <c r="C510" s="2" t="s">
        <v>14</v>
      </c>
      <c r="D510" s="20">
        <f>$D$508*$D$509</f>
      </c>
      <c r="E510" s="20">
        <f>$E$508*$E$509</f>
      </c>
      <c r="F510" s="20">
        <f>$F$508*$F$509</f>
      </c>
      <c r="G510" s="20">
        <f>$G$508*$G$509</f>
      </c>
      <c r="H510" s="20">
        <f>$H$508*$H$509</f>
      </c>
      <c r="I510" s="20">
        <f>$I$508*$I$509</f>
      </c>
      <c r="J510" s="20">
        <f>$J$508*$J$509</f>
      </c>
    </row>
    <row r="511" spans="2:10" x14ac:dyDescent="0.25">
      <c r="B511" s="2" t="s">
        <v>1424</v>
      </c>
      <c r="C511" s="2" t="s">
        <v>14</v>
      </c>
      <c r="D511" s="33">
        <f>$D$508-$D$510</f>
      </c>
      <c r="E511" s="33">
        <f>$E$508-$E$510</f>
      </c>
      <c r="F511" s="33">
        <f>$F$508-$F$510</f>
      </c>
      <c r="G511" s="33">
        <f>$G$508-$G$510</f>
      </c>
      <c r="H511" s="33">
        <f>$H$508-$H$510</f>
      </c>
      <c r="I511" s="33">
        <f>$I$508-$I$510</f>
      </c>
      <c r="J511" s="33">
        <f>$J$508-$J$510</f>
      </c>
    </row>
    <row r="512" spans="2:10" x14ac:dyDescent="0.25">
      <c r="B512" s="2" t="s">
        <v>1425</v>
      </c>
      <c r="C512" s="2" t="s">
        <v>14</v>
      </c>
      <c r="D512" s="20">
        <f>$D$497*(1-((Inputs!$E$26+Inputs!$E$51+Inputs!$E$52)/$D$497))</f>
      </c>
      <c r="E512" s="20">
        <f>$E$497*(1-(Inputs!$D$183+$E$496))</f>
      </c>
      <c r="F512" s="20">
        <f>$F$497*(1-(Inputs!$E$183+$E$496))</f>
      </c>
      <c r="G512" s="20">
        <f>$G$497*(1-(Inputs!$F$183+$E$496))</f>
      </c>
      <c r="H512" s="20">
        <f>$H$497*(1-(Inputs!$G$183+$E$496))</f>
      </c>
      <c r="I512" s="20">
        <f>$I$497*(1-(Inputs!$H$183+$E$496))</f>
      </c>
      <c r="J512" s="20">
        <f>$J$497*(1-(Inputs!$I$183+$E$496))</f>
      </c>
    </row>
    <row r="513" spans="2:10" x14ac:dyDescent="0.25">
      <c r="B513" s="2" t="s">
        <v>1426</v>
      </c>
      <c r="C513" s="2" t="s">
        <v>14</v>
      </c>
      <c r="D513" s="20">
        <f>Inputs!$E$67</f>
      </c>
      <c r="E513" s="20">
        <f>$E$497*Inputs!$D$191/Inputs!$D$18</f>
      </c>
      <c r="F513" s="20">
        <f>$F$497*Inputs!$E$191/Inputs!$D$18</f>
      </c>
      <c r="G513" s="20">
        <f>$G$497*Inputs!$F$191/Inputs!$D$18</f>
      </c>
      <c r="H513" s="20">
        <f>$H$497*Inputs!$G$191/Inputs!$D$18</f>
      </c>
      <c r="I513" s="20">
        <f>$I$497*Inputs!$H$191/Inputs!$D$18</f>
      </c>
      <c r="J513" s="20">
        <f>$J$497*Inputs!$I$191/Inputs!$D$18</f>
      </c>
    </row>
    <row r="514" spans="2:10" x14ac:dyDescent="0.25">
      <c r="B514" s="2" t="s">
        <v>1427</v>
      </c>
      <c r="C514" s="2" t="s">
        <v>14</v>
      </c>
      <c r="D514" s="20">
        <f>Inputs!$E$66</f>
      </c>
      <c r="E514" s="20">
        <f>$E$512*Inputs!$D$192/Inputs!$D$18</f>
      </c>
      <c r="F514" s="20">
        <f>$F$512*Inputs!$E$192/Inputs!$D$18</f>
      </c>
      <c r="G514" s="20">
        <f>$G$512*Inputs!$F$192/Inputs!$D$18</f>
      </c>
      <c r="H514" s="20">
        <f>$H$512*Inputs!$G$192/Inputs!$D$18</f>
      </c>
      <c r="I514" s="20">
        <f>$I$512*Inputs!$H$192/Inputs!$D$18</f>
      </c>
      <c r="J514" s="20">
        <f>$J$512*Inputs!$I$192/Inputs!$D$18</f>
      </c>
    </row>
    <row r="515" spans="2:10" x14ac:dyDescent="0.25">
      <c r="B515" s="2" t="s">
        <v>1428</v>
      </c>
      <c r="C515" s="2" t="s">
        <v>14</v>
      </c>
      <c r="D515" s="20">
        <f>Inputs!$E$93</f>
      </c>
      <c r="E515" s="20">
        <f>$E$512*Inputs!$D$193/Inputs!$D$18</f>
      </c>
      <c r="F515" s="20">
        <f>$F$512*Inputs!$E$193/Inputs!$D$18</f>
      </c>
      <c r="G515" s="20">
        <f>$G$512*Inputs!$F$193/Inputs!$D$18</f>
      </c>
      <c r="H515" s="20">
        <f>$H$512*Inputs!$G$193/Inputs!$D$18</f>
      </c>
      <c r="I515" s="20">
        <f>$I$512*Inputs!$H$193/Inputs!$D$18</f>
      </c>
      <c r="J515" s="20">
        <f>$J$512*Inputs!$I$193/Inputs!$D$18</f>
      </c>
    </row>
    <row r="516" spans="2:10" x14ac:dyDescent="0.25">
      <c r="B516" s="2" t="s">
        <v>1429</v>
      </c>
      <c r="C516" s="2" t="s">
        <v>14</v>
      </c>
      <c r="D516" s="20">
        <f>Inputs!$E$70+Inputs!$E$72+Inputs!$E$71</f>
      </c>
      <c r="E516" s="20">
        <f>$E$497*Inputs!$D$194</f>
      </c>
      <c r="F516" s="20">
        <f>$F$497*Inputs!$E$194</f>
      </c>
      <c r="G516" s="20">
        <f>$G$497*Inputs!$F$194</f>
      </c>
      <c r="H516" s="20">
        <f>$H$497*Inputs!$G$194</f>
      </c>
      <c r="I516" s="20">
        <f>$I$497*Inputs!$H$194</f>
      </c>
      <c r="J516" s="20">
        <f>$J$497*Inputs!$I$194</f>
      </c>
    </row>
    <row r="517" spans="2:10" x14ac:dyDescent="0.25">
      <c r="B517" s="2" t="s">
        <v>1430</v>
      </c>
      <c r="C517" s="2" t="s">
        <v>14</v>
      </c>
      <c r="D517" s="20">
        <f>Inputs!$E$94+Inputs!$E$95+Inputs!$E$97+Inputs!$E$98+Inputs!$E$99</f>
      </c>
      <c r="E517" s="20">
        <f>$E$497*Inputs!$D$195</f>
      </c>
      <c r="F517" s="20">
        <f>$F$497*Inputs!$E$195</f>
      </c>
      <c r="G517" s="20">
        <f>$G$497*Inputs!$F$195</f>
      </c>
      <c r="H517" s="20">
        <f>$H$497*Inputs!$G$195</f>
      </c>
      <c r="I517" s="20">
        <f>$I$497*Inputs!$H$195</f>
      </c>
      <c r="J517" s="20">
        <f>$J$497*Inputs!$I$195</f>
      </c>
    </row>
    <row r="518" spans="2:10" x14ac:dyDescent="0.25">
      <c r="B518" s="2" t="s">
        <v>1431</v>
      </c>
      <c r="C518" s="2" t="s">
        <v>14</v>
      </c>
      <c r="D518" s="33">
        <f>$D$513+$D$514+$D$516-$D$515-$D$517</f>
      </c>
      <c r="E518" s="33">
        <f>$E$513+$E$514+$E$516-$E$515-$E$517</f>
      </c>
      <c r="F518" s="33">
        <f>$F$513+$F$514+$F$516-$F$515-$F$517</f>
      </c>
      <c r="G518" s="33">
        <f>$G$513+$G$514+$G$516-$G$515-$G$517</f>
      </c>
      <c r="H518" s="33">
        <f>$H$513+$H$514+$H$516-$H$515-$H$517</f>
      </c>
      <c r="I518" s="33">
        <f>$I$513+$I$514+$I$516-$I$515-$I$517</f>
      </c>
      <c r="J518" s="33">
        <f>$J$513+$J$514+$J$516-$J$515-$J$517</f>
      </c>
    </row>
    <row r="519" spans="2:10" x14ac:dyDescent="0.25">
      <c r="B519" s="2" t="s">
        <v>1432</v>
      </c>
      <c r="C519" s="2" t="s">
        <v>14</v>
      </c>
      <c r="E519" s="20">
        <f>$E$518-$D$518</f>
      </c>
      <c r="F519" s="20">
        <f>$F$518-$E$518</f>
      </c>
      <c r="G519" s="20">
        <f>$G$518-$F$518</f>
      </c>
      <c r="H519" s="20">
        <f>$H$518-$G$518</f>
      </c>
      <c r="I519" s="20">
        <f>$I$518-$H$518</f>
      </c>
      <c r="J519" s="20">
        <f>$J$518-$I$518</f>
      </c>
    </row>
    <row r="520" spans="2:10" x14ac:dyDescent="0.25">
      <c r="B520" s="2" t="s">
        <v>1433</v>
      </c>
      <c r="C520" s="2" t="s">
        <v>14</v>
      </c>
      <c r="D520" s="20">
        <f>Inputs!$E$49</f>
      </c>
      <c r="E520" s="20">
        <f>$E$511+Inputs!$D$202*(1-$E$509)</f>
      </c>
      <c r="F520" s="20">
        <f>$F$511+Inputs!$D$202*(1-$F$509)</f>
      </c>
      <c r="G520" s="20">
        <f>$G$511+Inputs!$D$202*(1-$G$509)</f>
      </c>
      <c r="H520" s="20">
        <f>$H$511+Inputs!$D$202*(1-$H$509)</f>
      </c>
      <c r="I520" s="20">
        <f>$I$511+Inputs!$D$202*(1-$I$509)</f>
      </c>
      <c r="J520" s="20">
        <f>$J$511+Inputs!$D$202*(1-$J$509)</f>
      </c>
    </row>
    <row r="521" spans="2:10" x14ac:dyDescent="0.25">
      <c r="B521" s="2" t="s">
        <v>1434</v>
      </c>
      <c r="C521" s="2" t="s">
        <v>14</v>
      </c>
      <c r="E521" s="20">
        <f>IF(Inputs!$D$200=1,Inputs!$D$201*$D$520,0)</f>
      </c>
      <c r="F521" s="20">
        <f>IF(Inputs!$D$200=1,Inputs!$D$201*$E$520,0)</f>
      </c>
      <c r="G521" s="20">
        <f>IF(Inputs!$D$200=1,Inputs!$D$201*$F$520,0)</f>
      </c>
      <c r="H521" s="20">
        <f>IF(Inputs!$D$200=1,Inputs!$D$201*$G$520,0)</f>
      </c>
      <c r="I521" s="20">
        <f>IF(Inputs!$D$200=1,Inputs!$D$201*$H$520,0)</f>
      </c>
      <c r="J521" s="20">
        <f>IF(Inputs!$D$200=1,Inputs!$D$201*$I$520,0)</f>
      </c>
    </row>
    <row r="522" spans="2:10" x14ac:dyDescent="0.25">
      <c r="B522" s="9" t="s">
        <v>1435</v>
      </c>
      <c r="C522" s="2" t="s">
        <v>14</v>
      </c>
      <c r="E522" s="34">
        <f>$E$511+$E$505-$E$506-$E$519-$E$521</f>
      </c>
      <c r="F522" s="34">
        <f>$F$511+$F$505-$F$506-$F$519-$F$521</f>
      </c>
      <c r="G522" s="34">
        <f>$G$511+$G$505-$G$506-$G$519-$G$521</f>
      </c>
      <c r="H522" s="34">
        <f>$H$511+$H$505-$H$506-$H$519-$H$521</f>
      </c>
      <c r="I522" s="34">
        <f>$I$511+$I$505-$I$506-$I$519-$I$521</f>
      </c>
      <c r="J522" s="34">
        <f>$J$511+$J$505-$J$506-$J$519-$J$521</f>
      </c>
    </row>
    <row r="523" spans="2:9" x14ac:dyDescent="0.25">
      <c r="B523" s="2" t="s">
        <v>1436</v>
      </c>
      <c r="C523" s="2" t="s">
        <v>14</v>
      </c>
      <c r="E523" s="20">
        <f>$E$522*DCF!$D$10*(1+WACC!$D$54)^(-DCF!$D$12)</f>
      </c>
      <c r="F523" s="20">
        <f>$F$522*DCF!$E$10*(1+WACC!$D$54)^(-DCF!$E$12)</f>
      </c>
      <c r="G523" s="20">
        <f>$G$522*DCF!$F$10*(1+WACC!$D$54)^(-DCF!$F$12)</f>
      </c>
      <c r="H523" s="20">
        <f>$H$522*DCF!$G$10*(1+WACC!$D$54)^(-DCF!$G$12)</f>
      </c>
      <c r="I523" s="20">
        <f>$I$522*DCF!$H$10*(1+WACC!$D$54)^(-DCF!$H$12)</f>
      </c>
    </row>
    <row r="524" spans="2:4" x14ac:dyDescent="0.25">
      <c r="B524" s="2" t="s">
        <v>1437</v>
      </c>
      <c r="C524" s="2" t="s">
        <v>14</v>
      </c>
      <c r="D524" s="20">
        <f>SUM($E$523:$I$523)</f>
      </c>
    </row>
    <row r="525" spans="2:4" x14ac:dyDescent="0.25">
      <c r="B525" s="2" t="s">
        <v>1438</v>
      </c>
      <c r="C525" s="2" t="s">
        <v>14</v>
      </c>
      <c r="D525" s="20">
        <f>IF(Inputs!$D$171="gordon",IF(Inputs!$D$172&lt;WACC!$D$54,$J$522/(WACC!$D$54-Inputs!$D$172),"n/a"),$I$501*Inputs!$D$173)</f>
      </c>
    </row>
    <row r="526" spans="2:4" x14ac:dyDescent="0.25">
      <c r="B526" s="2" t="s">
        <v>1439</v>
      </c>
      <c r="C526" s="2" t="s">
        <v>14</v>
      </c>
      <c r="D526" s="33">
        <f>IFERROR($D$524+$D$525*(1+WACC!$D$54)^(-DCF!$D$21),"n/a")</f>
      </c>
    </row>
    <row r="527" spans="2:4" x14ac:dyDescent="0.25">
      <c r="B527" s="2" t="s">
        <v>1440</v>
      </c>
      <c r="C527" s="2" t="s">
        <v>14</v>
      </c>
      <c r="D527" s="20">
        <f>IFERROR($D$526+DCF!$D$51,"n/a")</f>
      </c>
    </row>
    <row r="528" spans="2:4" x14ac:dyDescent="0.25">
      <c r="B528" s="9" t="s">
        <v>1441</v>
      </c>
      <c r="C528" s="2" t="s">
        <v>14</v>
      </c>
      <c r="D528" s="40">
        <f>IFERROR($D$527/Inputs!$D$15,"n/a")</f>
      </c>
    </row>
    <row r="530" spans="2:5" x14ac:dyDescent="0.25">
      <c r="B530" s="2" t="s">
        <v>1442</v>
      </c>
      <c r="C530" s="2" t="s">
        <v>326</v>
      </c>
      <c r="D530" s="15">
        <f>Inputs!$F$237*Inputs!$D$233</f>
      </c>
      <c r="E530" s="15">
        <f>Inputs!$H$237*Inputs!$D$234</f>
      </c>
    </row>
    <row r="531" spans="2:10" x14ac:dyDescent="0.25">
      <c r="B531" s="9" t="s">
        <v>1443</v>
      </c>
      <c r="C531" s="2" t="s">
        <v>14</v>
      </c>
      <c r="D531" s="35">
        <f>Inputs!$E$23</f>
      </c>
      <c r="E531" s="35">
        <f>$D$531*(1+(Inputs!$D$182+$D$530))</f>
      </c>
      <c r="F531" s="35">
        <f>$E$531*(1+(Inputs!$E$182+$D$530))</f>
      </c>
      <c r="G531" s="35">
        <f>$F$531*(1+(Inputs!$F$182+$D$530))</f>
      </c>
      <c r="H531" s="35">
        <f>$G$531*(1+(Inputs!$G$182+$D$530))</f>
      </c>
      <c r="I531" s="35">
        <f>$H$531*(1+(Inputs!$H$182+$D$530))</f>
      </c>
      <c r="J531" s="35">
        <f>$I$531*(1+Inputs!$D$172)</f>
      </c>
    </row>
    <row r="532" spans="2:10" x14ac:dyDescent="0.25">
      <c r="B532" s="2" t="s">
        <v>1444</v>
      </c>
      <c r="C532" s="2" t="s">
        <v>14</v>
      </c>
      <c r="D532" s="20">
        <f>$D$531*((Inputs!$E$26+Inputs!$E$51+Inputs!$E$52)/$D$531)</f>
      </c>
      <c r="E532" s="20">
        <f>$E$531*(Inputs!$D$183+$E$530)</f>
      </c>
      <c r="F532" s="20">
        <f>$F$531*(Inputs!$E$183+$E$530)</f>
      </c>
      <c r="G532" s="20">
        <f>$G$531*(Inputs!$F$183+$E$530)</f>
      </c>
      <c r="H532" s="20">
        <f>$H$531*(Inputs!$G$183+$E$530)</f>
      </c>
      <c r="I532" s="20">
        <f>$I$531*(Inputs!$H$183+$E$530)</f>
      </c>
      <c r="J532" s="20">
        <f>$J$531*(Inputs!$I$183+$E$530)</f>
      </c>
    </row>
    <row r="533" spans="2:10" x14ac:dyDescent="0.25">
      <c r="B533" s="2" t="s">
        <v>1445</v>
      </c>
      <c r="C533" s="2" t="s">
        <v>14</v>
      </c>
      <c r="D533" s="20">
        <f>-(Inputs!$E$29+Inputs!$E$30)</f>
      </c>
      <c r="E533" s="20">
        <f>$E$531*Inputs!$D$184</f>
      </c>
      <c r="F533" s="20">
        <f>$F$531*Inputs!$E$184</f>
      </c>
      <c r="G533" s="20">
        <f>$G$531*Inputs!$F$184</f>
      </c>
      <c r="H533" s="20">
        <f>$H$531*Inputs!$G$184</f>
      </c>
      <c r="I533" s="20">
        <f>$I$531*Inputs!$H$184</f>
      </c>
      <c r="J533" s="20">
        <f>$J$531*Inputs!$I$184</f>
      </c>
    </row>
    <row r="534" spans="2:10" x14ac:dyDescent="0.25">
      <c r="B534" s="2" t="s">
        <v>1446</v>
      </c>
      <c r="C534" s="2" t="s">
        <v>14</v>
      </c>
      <c r="D534" s="20">
        <f>Normalization!$D$13-Inputs!$E$26-Inputs!$E$29-Inputs!$E$30</f>
      </c>
      <c r="E534" s="20">
        <f>$E$531*Inputs!$D$185</f>
      </c>
      <c r="F534" s="20">
        <f>$F$531*Inputs!$E$185</f>
      </c>
      <c r="G534" s="20">
        <f>$G$531*Inputs!$F$185</f>
      </c>
      <c r="H534" s="20">
        <f>$H$531*Inputs!$G$185</f>
      </c>
      <c r="I534" s="20">
        <f>$I$531*Inputs!$H$185</f>
      </c>
      <c r="J534" s="20">
        <f>$J$531*Inputs!$I$185</f>
      </c>
    </row>
    <row r="535" spans="2:10" x14ac:dyDescent="0.25">
      <c r="B535" s="9" t="s">
        <v>1447</v>
      </c>
      <c r="C535" s="2" t="s">
        <v>14</v>
      </c>
      <c r="D535" s="34">
        <f>$D$532-$D$533+$D$534</f>
      </c>
      <c r="E535" s="34">
        <f>$E$532-$E$533+$E$534</f>
      </c>
      <c r="F535" s="34">
        <f>$F$532-$F$533+$F$534</f>
      </c>
      <c r="G535" s="34">
        <f>$G$532-$G$533+$G$534</f>
      </c>
      <c r="H535" s="34">
        <f>$H$532-$H$533+$H$534</f>
      </c>
      <c r="I535" s="34">
        <f>$I$532-$I$533+$I$534</f>
      </c>
      <c r="J535" s="34">
        <f>$J$532-$J$533+$J$534</f>
      </c>
    </row>
    <row r="536" spans="2:10" x14ac:dyDescent="0.25">
      <c r="B536" s="2" t="s">
        <v>1448</v>
      </c>
      <c r="C536" s="2" t="s">
        <v>14</v>
      </c>
      <c r="E536" s="20">
        <f>Inputs!$E$57</f>
      </c>
      <c r="F536" s="20">
        <f>$E$541</f>
      </c>
      <c r="G536" s="20">
        <f>$F$541</f>
      </c>
      <c r="H536" s="20">
        <f>$G$541</f>
      </c>
      <c r="I536" s="20">
        <f>$H$541</f>
      </c>
      <c r="J536" s="20">
        <f>$I$541</f>
      </c>
    </row>
    <row r="537" spans="2:10" x14ac:dyDescent="0.25">
      <c r="B537" s="2" t="s">
        <v>1449</v>
      </c>
      <c r="C537" s="2" t="s">
        <v>14</v>
      </c>
      <c r="D537" s="20">
        <f>Inputs!$E$51</f>
      </c>
      <c r="E537" s="20">
        <f>IF(Inputs!$D$180="ppe_rollforward",Inputs!$D$187*$E$536,$E$531*Inputs!$D$186)</f>
      </c>
      <c r="F537" s="20">
        <f>IF(Inputs!$D$180="ppe_rollforward",Inputs!$E$187*$F$536,$F$531*Inputs!$E$186)</f>
      </c>
      <c r="G537" s="20">
        <f>IF(Inputs!$D$180="ppe_rollforward",Inputs!$F$187*$G$536,$G$531*Inputs!$F$186)</f>
      </c>
      <c r="H537" s="20">
        <f>IF(Inputs!$D$180="ppe_rollforward",Inputs!$G$187*$H$536,$H$531*Inputs!$G$186)</f>
      </c>
      <c r="I537" s="20">
        <f>IF(Inputs!$D$180="ppe_rollforward",Inputs!$H$187*$I$536,$I$531*Inputs!$H$186)</f>
      </c>
      <c r="J537" s="20">
        <f>IF(Inputs!$D$180="ppe_rollforward",Inputs!$I$187*$J$536,$J$531*Inputs!$I$186)</f>
      </c>
    </row>
    <row r="538" spans="2:10" x14ac:dyDescent="0.25">
      <c r="B538" s="2" t="s">
        <v>1450</v>
      </c>
      <c r="C538" s="2" t="s">
        <v>14</v>
      </c>
      <c r="D538" s="20">
        <f>Inputs!$E$52</f>
      </c>
      <c r="E538" s="20">
        <f>IF(Inputs!$D$180="ppe_rollforward",$E$531*Inputs!$D$188,0)</f>
      </c>
      <c r="F538" s="20">
        <f>IF(Inputs!$D$180="ppe_rollforward",$F$531*Inputs!$E$188,0)</f>
      </c>
      <c r="G538" s="20">
        <f>IF(Inputs!$D$180="ppe_rollforward",$G$531*Inputs!$F$188,0)</f>
      </c>
      <c r="H538" s="20">
        <f>IF(Inputs!$D$180="ppe_rollforward",$H$531*Inputs!$G$188,0)</f>
      </c>
      <c r="I538" s="20">
        <f>IF(Inputs!$D$180="ppe_rollforward",$I$531*Inputs!$H$188,0)</f>
      </c>
      <c r="J538" s="20">
        <f>IF(Inputs!$D$180="ppe_rollforward",$J$531*Inputs!$I$188,0)</f>
      </c>
    </row>
    <row r="539" spans="2:10" x14ac:dyDescent="0.25">
      <c r="B539" s="2" t="s">
        <v>1451</v>
      </c>
      <c r="C539" s="2" t="s">
        <v>14</v>
      </c>
      <c r="D539" s="20">
        <f>$D$537+$D$538</f>
      </c>
      <c r="E539" s="20">
        <f>$E$537+$E$538</f>
      </c>
      <c r="F539" s="20">
        <f>$F$537+$F$538</f>
      </c>
      <c r="G539" s="20">
        <f>$G$537+$G$538</f>
      </c>
      <c r="H539" s="20">
        <f>$H$537+$H$538</f>
      </c>
      <c r="I539" s="20">
        <f>$I$537+$I$538</f>
      </c>
      <c r="J539" s="20">
        <f>$J$537+$J$538</f>
      </c>
    </row>
    <row r="540" spans="2:10" x14ac:dyDescent="0.25">
      <c r="B540" s="2" t="s">
        <v>1452</v>
      </c>
      <c r="C540" s="2" t="s">
        <v>14</v>
      </c>
      <c r="D540" s="20">
        <f>-Inputs!$E$111</f>
      </c>
      <c r="E540" s="20">
        <f>IF(Inputs!$D$181="absolute",Inputs!$D$190,$E$531*Inputs!$D$189)</f>
      </c>
      <c r="F540" s="20">
        <f>IF(Inputs!$D$181="absolute",Inputs!$E$190,$F$531*Inputs!$E$189)</f>
      </c>
      <c r="G540" s="20">
        <f>IF(Inputs!$D$181="absolute",Inputs!$F$190,$G$531*Inputs!$F$189)</f>
      </c>
      <c r="H540" s="20">
        <f>IF(Inputs!$D$181="absolute",Inputs!$G$190,$H$531*Inputs!$G$189)</f>
      </c>
      <c r="I540" s="20">
        <f>IF(Inputs!$D$181="absolute",Inputs!$H$190,$I$531*Inputs!$H$189)</f>
      </c>
      <c r="J540" s="20">
        <f>$J$531*Inputs!$I$189</f>
      </c>
    </row>
    <row r="541" spans="2:10" x14ac:dyDescent="0.25">
      <c r="B541" s="2" t="s">
        <v>1453</v>
      </c>
      <c r="C541" s="2" t="s">
        <v>14</v>
      </c>
      <c r="D541" s="20">
        <f>Inputs!$E$57</f>
      </c>
      <c r="E541" s="20">
        <f>$E$536+$E$540-$E$537</f>
      </c>
      <c r="F541" s="20">
        <f>$F$536+$F$540-$F$537</f>
      </c>
      <c r="G541" s="20">
        <f>$G$536+$G$540-$G$537</f>
      </c>
      <c r="H541" s="20">
        <f>$H$536+$H$540-$H$537</f>
      </c>
      <c r="I541" s="20">
        <f>$I$536+$I$540-$I$537</f>
      </c>
      <c r="J541" s="20">
        <f>$J$536+$J$540-$J$537</f>
      </c>
    </row>
    <row r="542" spans="2:10" x14ac:dyDescent="0.25">
      <c r="B542" s="9" t="s">
        <v>1454</v>
      </c>
      <c r="C542" s="2" t="s">
        <v>14</v>
      </c>
      <c r="D542" s="35">
        <f>$D$535-$D$539</f>
      </c>
      <c r="E542" s="35">
        <f>$E$535-$E$539</f>
      </c>
      <c r="F542" s="35">
        <f>$F$535-$F$539</f>
      </c>
      <c r="G542" s="35">
        <f>$G$535-$G$539</f>
      </c>
      <c r="H542" s="35">
        <f>$H$535-$H$539</f>
      </c>
      <c r="I542" s="35">
        <f>$I$535-$I$539</f>
      </c>
      <c r="J542" s="35">
        <f>$J$535-$J$539</f>
      </c>
    </row>
    <row r="543" spans="2:10" x14ac:dyDescent="0.25">
      <c r="B543" s="2" t="s">
        <v>1455</v>
      </c>
      <c r="C543" s="2" t="s">
        <v>54</v>
      </c>
      <c r="D543" s="11">
        <f>Inputs!$D$133</f>
      </c>
      <c r="E543" s="11">
        <f>Inputs!$D$196</f>
      </c>
      <c r="F543" s="11">
        <f>Inputs!$E$196</f>
      </c>
      <c r="G543" s="11">
        <f>Inputs!$F$196</f>
      </c>
      <c r="H543" s="11">
        <f>Inputs!$G$196</f>
      </c>
      <c r="I543" s="11">
        <f>Inputs!$H$196</f>
      </c>
      <c r="J543" s="11">
        <f>Inputs!$I$196</f>
      </c>
    </row>
    <row r="544" spans="2:10" x14ac:dyDescent="0.25">
      <c r="B544" s="2" t="s">
        <v>1456</v>
      </c>
      <c r="C544" s="2" t="s">
        <v>14</v>
      </c>
      <c r="D544" s="20">
        <f>$D$542*$D$543</f>
      </c>
      <c r="E544" s="20">
        <f>$E$542*$E$543</f>
      </c>
      <c r="F544" s="20">
        <f>$F$542*$F$543</f>
      </c>
      <c r="G544" s="20">
        <f>$G$542*$G$543</f>
      </c>
      <c r="H544" s="20">
        <f>$H$542*$H$543</f>
      </c>
      <c r="I544" s="20">
        <f>$I$542*$I$543</f>
      </c>
      <c r="J544" s="20">
        <f>$J$542*$J$543</f>
      </c>
    </row>
    <row r="545" spans="2:10" x14ac:dyDescent="0.25">
      <c r="B545" s="2" t="s">
        <v>1457</v>
      </c>
      <c r="C545" s="2" t="s">
        <v>14</v>
      </c>
      <c r="D545" s="33">
        <f>$D$542-$D$544</f>
      </c>
      <c r="E545" s="33">
        <f>$E$542-$E$544</f>
      </c>
      <c r="F545" s="33">
        <f>$F$542-$F$544</f>
      </c>
      <c r="G545" s="33">
        <f>$G$542-$G$544</f>
      </c>
      <c r="H545" s="33">
        <f>$H$542-$H$544</f>
      </c>
      <c r="I545" s="33">
        <f>$I$542-$I$544</f>
      </c>
      <c r="J545" s="33">
        <f>$J$542-$J$544</f>
      </c>
    </row>
    <row r="546" spans="2:10" x14ac:dyDescent="0.25">
      <c r="B546" s="2" t="s">
        <v>1458</v>
      </c>
      <c r="C546" s="2" t="s">
        <v>14</v>
      </c>
      <c r="D546" s="20">
        <f>$D$531*(1-((Inputs!$E$26+Inputs!$E$51+Inputs!$E$52)/$D$531))</f>
      </c>
      <c r="E546" s="20">
        <f>$E$531*(1-(Inputs!$D$183+$E$530))</f>
      </c>
      <c r="F546" s="20">
        <f>$F$531*(1-(Inputs!$E$183+$E$530))</f>
      </c>
      <c r="G546" s="20">
        <f>$G$531*(1-(Inputs!$F$183+$E$530))</f>
      </c>
      <c r="H546" s="20">
        <f>$H$531*(1-(Inputs!$G$183+$E$530))</f>
      </c>
      <c r="I546" s="20">
        <f>$I$531*(1-(Inputs!$H$183+$E$530))</f>
      </c>
      <c r="J546" s="20">
        <f>$J$531*(1-(Inputs!$I$183+$E$530))</f>
      </c>
    </row>
    <row r="547" spans="2:10" x14ac:dyDescent="0.25">
      <c r="B547" s="2" t="s">
        <v>1459</v>
      </c>
      <c r="C547" s="2" t="s">
        <v>14</v>
      </c>
      <c r="D547" s="20">
        <f>Inputs!$E$67</f>
      </c>
      <c r="E547" s="20">
        <f>$E$531*Inputs!$D$191/Inputs!$D$18</f>
      </c>
      <c r="F547" s="20">
        <f>$F$531*Inputs!$E$191/Inputs!$D$18</f>
      </c>
      <c r="G547" s="20">
        <f>$G$531*Inputs!$F$191/Inputs!$D$18</f>
      </c>
      <c r="H547" s="20">
        <f>$H$531*Inputs!$G$191/Inputs!$D$18</f>
      </c>
      <c r="I547" s="20">
        <f>$I$531*Inputs!$H$191/Inputs!$D$18</f>
      </c>
      <c r="J547" s="20">
        <f>$J$531*Inputs!$I$191/Inputs!$D$18</f>
      </c>
    </row>
    <row r="548" spans="2:10" x14ac:dyDescent="0.25">
      <c r="B548" s="2" t="s">
        <v>1460</v>
      </c>
      <c r="C548" s="2" t="s">
        <v>14</v>
      </c>
      <c r="D548" s="20">
        <f>Inputs!$E$66</f>
      </c>
      <c r="E548" s="20">
        <f>$E$546*Inputs!$D$192/Inputs!$D$18</f>
      </c>
      <c r="F548" s="20">
        <f>$F$546*Inputs!$E$192/Inputs!$D$18</f>
      </c>
      <c r="G548" s="20">
        <f>$G$546*Inputs!$F$192/Inputs!$D$18</f>
      </c>
      <c r="H548" s="20">
        <f>$H$546*Inputs!$G$192/Inputs!$D$18</f>
      </c>
      <c r="I548" s="20">
        <f>$I$546*Inputs!$H$192/Inputs!$D$18</f>
      </c>
      <c r="J548" s="20">
        <f>$J$546*Inputs!$I$192/Inputs!$D$18</f>
      </c>
    </row>
    <row r="549" spans="2:10" x14ac:dyDescent="0.25">
      <c r="B549" s="2" t="s">
        <v>1461</v>
      </c>
      <c r="C549" s="2" t="s">
        <v>14</v>
      </c>
      <c r="D549" s="20">
        <f>Inputs!$E$93</f>
      </c>
      <c r="E549" s="20">
        <f>$E$546*Inputs!$D$193/Inputs!$D$18</f>
      </c>
      <c r="F549" s="20">
        <f>$F$546*Inputs!$E$193/Inputs!$D$18</f>
      </c>
      <c r="G549" s="20">
        <f>$G$546*Inputs!$F$193/Inputs!$D$18</f>
      </c>
      <c r="H549" s="20">
        <f>$H$546*Inputs!$G$193/Inputs!$D$18</f>
      </c>
      <c r="I549" s="20">
        <f>$I$546*Inputs!$H$193/Inputs!$D$18</f>
      </c>
      <c r="J549" s="20">
        <f>$J$546*Inputs!$I$193/Inputs!$D$18</f>
      </c>
    </row>
    <row r="550" spans="2:10" x14ac:dyDescent="0.25">
      <c r="B550" s="2" t="s">
        <v>1462</v>
      </c>
      <c r="C550" s="2" t="s">
        <v>14</v>
      </c>
      <c r="D550" s="20">
        <f>Inputs!$E$70+Inputs!$E$72+Inputs!$E$71</f>
      </c>
      <c r="E550" s="20">
        <f>$E$531*Inputs!$D$194</f>
      </c>
      <c r="F550" s="20">
        <f>$F$531*Inputs!$E$194</f>
      </c>
      <c r="G550" s="20">
        <f>$G$531*Inputs!$F$194</f>
      </c>
      <c r="H550" s="20">
        <f>$H$531*Inputs!$G$194</f>
      </c>
      <c r="I550" s="20">
        <f>$I$531*Inputs!$H$194</f>
      </c>
      <c r="J550" s="20">
        <f>$J$531*Inputs!$I$194</f>
      </c>
    </row>
    <row r="551" spans="2:10" x14ac:dyDescent="0.25">
      <c r="B551" s="2" t="s">
        <v>1463</v>
      </c>
      <c r="C551" s="2" t="s">
        <v>14</v>
      </c>
      <c r="D551" s="20">
        <f>Inputs!$E$94+Inputs!$E$95+Inputs!$E$97+Inputs!$E$98+Inputs!$E$99</f>
      </c>
      <c r="E551" s="20">
        <f>$E$531*Inputs!$D$195</f>
      </c>
      <c r="F551" s="20">
        <f>$F$531*Inputs!$E$195</f>
      </c>
      <c r="G551" s="20">
        <f>$G$531*Inputs!$F$195</f>
      </c>
      <c r="H551" s="20">
        <f>$H$531*Inputs!$G$195</f>
      </c>
      <c r="I551" s="20">
        <f>$I$531*Inputs!$H$195</f>
      </c>
      <c r="J551" s="20">
        <f>$J$531*Inputs!$I$195</f>
      </c>
    </row>
    <row r="552" spans="2:10" x14ac:dyDescent="0.25">
      <c r="B552" s="2" t="s">
        <v>1464</v>
      </c>
      <c r="C552" s="2" t="s">
        <v>14</v>
      </c>
      <c r="D552" s="33">
        <f>$D$547+$D$548+$D$550-$D$549-$D$551</f>
      </c>
      <c r="E552" s="33">
        <f>$E$547+$E$548+$E$550-$E$549-$E$551</f>
      </c>
      <c r="F552" s="33">
        <f>$F$547+$F$548+$F$550-$F$549-$F$551</f>
      </c>
      <c r="G552" s="33">
        <f>$G$547+$G$548+$G$550-$G$549-$G$551</f>
      </c>
      <c r="H552" s="33">
        <f>$H$547+$H$548+$H$550-$H$549-$H$551</f>
      </c>
      <c r="I552" s="33">
        <f>$I$547+$I$548+$I$550-$I$549-$I$551</f>
      </c>
      <c r="J552" s="33">
        <f>$J$547+$J$548+$J$550-$J$549-$J$551</f>
      </c>
    </row>
    <row r="553" spans="2:10" x14ac:dyDescent="0.25">
      <c r="B553" s="2" t="s">
        <v>1465</v>
      </c>
      <c r="C553" s="2" t="s">
        <v>14</v>
      </c>
      <c r="E553" s="20">
        <f>$E$552-$D$552</f>
      </c>
      <c r="F553" s="20">
        <f>$F$552-$E$552</f>
      </c>
      <c r="G553" s="20">
        <f>$G$552-$F$552</f>
      </c>
      <c r="H553" s="20">
        <f>$H$552-$G$552</f>
      </c>
      <c r="I553" s="20">
        <f>$I$552-$H$552</f>
      </c>
      <c r="J553" s="20">
        <f>$J$552-$I$552</f>
      </c>
    </row>
    <row r="554" spans="2:10" x14ac:dyDescent="0.25">
      <c r="B554" s="2" t="s">
        <v>1466</v>
      </c>
      <c r="C554" s="2" t="s">
        <v>14</v>
      </c>
      <c r="D554" s="20">
        <f>Inputs!$E$49</f>
      </c>
      <c r="E554" s="20">
        <f>$E$545+Inputs!$D$202*(1-$E$543)</f>
      </c>
      <c r="F554" s="20">
        <f>$F$545+Inputs!$D$202*(1-$F$543)</f>
      </c>
      <c r="G554" s="20">
        <f>$G$545+Inputs!$D$202*(1-$G$543)</f>
      </c>
      <c r="H554" s="20">
        <f>$H$545+Inputs!$D$202*(1-$H$543)</f>
      </c>
      <c r="I554" s="20">
        <f>$I$545+Inputs!$D$202*(1-$I$543)</f>
      </c>
      <c r="J554" s="20">
        <f>$J$545+Inputs!$D$202*(1-$J$543)</f>
      </c>
    </row>
    <row r="555" spans="2:10" x14ac:dyDescent="0.25">
      <c r="B555" s="2" t="s">
        <v>1467</v>
      </c>
      <c r="C555" s="2" t="s">
        <v>14</v>
      </c>
      <c r="E555" s="20">
        <f>IF(Inputs!$D$200=1,Inputs!$D$201*$D$554,0)</f>
      </c>
      <c r="F555" s="20">
        <f>IF(Inputs!$D$200=1,Inputs!$D$201*$E$554,0)</f>
      </c>
      <c r="G555" s="20">
        <f>IF(Inputs!$D$200=1,Inputs!$D$201*$F$554,0)</f>
      </c>
      <c r="H555" s="20">
        <f>IF(Inputs!$D$200=1,Inputs!$D$201*$G$554,0)</f>
      </c>
      <c r="I555" s="20">
        <f>IF(Inputs!$D$200=1,Inputs!$D$201*$H$554,0)</f>
      </c>
      <c r="J555" s="20">
        <f>IF(Inputs!$D$200=1,Inputs!$D$201*$I$554,0)</f>
      </c>
    </row>
    <row r="556" spans="2:10" x14ac:dyDescent="0.25">
      <c r="B556" s="9" t="s">
        <v>1468</v>
      </c>
      <c r="C556" s="2" t="s">
        <v>14</v>
      </c>
      <c r="E556" s="34">
        <f>$E$545+$E$539-$E$540-$E$553-$E$555</f>
      </c>
      <c r="F556" s="34">
        <f>$F$545+$F$539-$F$540-$F$553-$F$555</f>
      </c>
      <c r="G556" s="34">
        <f>$G$545+$G$539-$G$540-$G$553-$G$555</f>
      </c>
      <c r="H556" s="34">
        <f>$H$545+$H$539-$H$540-$H$553-$H$555</f>
      </c>
      <c r="I556" s="34">
        <f>$I$545+$I$539-$I$540-$I$553-$I$555</f>
      </c>
      <c r="J556" s="34">
        <f>$J$545+$J$539-$J$540-$J$553-$J$555</f>
      </c>
    </row>
    <row r="557" spans="2:9" x14ac:dyDescent="0.25">
      <c r="B557" s="2" t="s">
        <v>1469</v>
      </c>
      <c r="C557" s="2" t="s">
        <v>14</v>
      </c>
      <c r="E557" s="20">
        <f>$E$556*DCF!$D$10*(1+WACC!$D$54)^(-DCF!$D$12)</f>
      </c>
      <c r="F557" s="20">
        <f>$F$556*DCF!$E$10*(1+WACC!$D$54)^(-DCF!$E$12)</f>
      </c>
      <c r="G557" s="20">
        <f>$G$556*DCF!$F$10*(1+WACC!$D$54)^(-DCF!$F$12)</f>
      </c>
      <c r="H557" s="20">
        <f>$H$556*DCF!$G$10*(1+WACC!$D$54)^(-DCF!$G$12)</f>
      </c>
      <c r="I557" s="20">
        <f>$I$556*DCF!$H$10*(1+WACC!$D$54)^(-DCF!$H$12)</f>
      </c>
    </row>
    <row r="558" spans="2:4" x14ac:dyDescent="0.25">
      <c r="B558" s="2" t="s">
        <v>1470</v>
      </c>
      <c r="C558" s="2" t="s">
        <v>14</v>
      </c>
      <c r="D558" s="20">
        <f>SUM($E$557:$I$557)</f>
      </c>
    </row>
    <row r="559" spans="2:4" x14ac:dyDescent="0.25">
      <c r="B559" s="2" t="s">
        <v>1471</v>
      </c>
      <c r="C559" s="2" t="s">
        <v>14</v>
      </c>
      <c r="D559" s="20">
        <f>IF(Inputs!$D$171="gordon",IF(Inputs!$D$172&lt;WACC!$D$54,$J$556/(WACC!$D$54-Inputs!$D$172),"n/a"),$I$535*Inputs!$D$173)</f>
      </c>
    </row>
    <row r="560" spans="2:4" x14ac:dyDescent="0.25">
      <c r="B560" s="2" t="s">
        <v>1472</v>
      </c>
      <c r="C560" s="2" t="s">
        <v>14</v>
      </c>
      <c r="D560" s="33">
        <f>IFERROR($D$558+$D$559*(1+WACC!$D$54)^(-DCF!$D$21),"n/a")</f>
      </c>
    </row>
    <row r="561" spans="2:4" x14ac:dyDescent="0.25">
      <c r="B561" s="2" t="s">
        <v>1473</v>
      </c>
      <c r="C561" s="2" t="s">
        <v>14</v>
      </c>
      <c r="D561" s="20">
        <f>IFERROR($D$560+DCF!$D$51,"n/a")</f>
      </c>
    </row>
    <row r="562" spans="2:4" x14ac:dyDescent="0.25">
      <c r="B562" s="9" t="s">
        <v>1474</v>
      </c>
      <c r="C562" s="2" t="s">
        <v>14</v>
      </c>
      <c r="D562" s="40">
        <f>IFERROR($D$561/Inputs!$D$15,"n/a")</f>
      </c>
    </row>
    <row r="564" spans="2:5" x14ac:dyDescent="0.25">
      <c r="B564" s="2" t="s">
        <v>1475</v>
      </c>
      <c r="C564" s="2" t="s">
        <v>326</v>
      </c>
      <c r="D564" s="15">
        <f>Inputs!$G$237*Inputs!$D$233</f>
      </c>
      <c r="E564" s="15">
        <f>Inputs!$D$237*Inputs!$D$234</f>
      </c>
    </row>
    <row r="565" spans="2:10" x14ac:dyDescent="0.25">
      <c r="B565" s="9" t="s">
        <v>1476</v>
      </c>
      <c r="C565" s="2" t="s">
        <v>14</v>
      </c>
      <c r="D565" s="35">
        <f>Inputs!$E$23</f>
      </c>
      <c r="E565" s="35">
        <f>$D$565*(1+(Inputs!$D$182+$D$564))</f>
      </c>
      <c r="F565" s="35">
        <f>$E$565*(1+(Inputs!$E$182+$D$564))</f>
      </c>
      <c r="G565" s="35">
        <f>$F$565*(1+(Inputs!$F$182+$D$564))</f>
      </c>
      <c r="H565" s="35">
        <f>$G$565*(1+(Inputs!$G$182+$D$564))</f>
      </c>
      <c r="I565" s="35">
        <f>$H$565*(1+(Inputs!$H$182+$D$564))</f>
      </c>
      <c r="J565" s="35">
        <f>$I$565*(1+Inputs!$D$172)</f>
      </c>
    </row>
    <row r="566" spans="2:10" x14ac:dyDescent="0.25">
      <c r="B566" s="2" t="s">
        <v>1477</v>
      </c>
      <c r="C566" s="2" t="s">
        <v>14</v>
      </c>
      <c r="D566" s="20">
        <f>$D$565*((Inputs!$E$26+Inputs!$E$51+Inputs!$E$52)/$D$565)</f>
      </c>
      <c r="E566" s="20">
        <f>$E$565*(Inputs!$D$183+$E$564)</f>
      </c>
      <c r="F566" s="20">
        <f>$F$565*(Inputs!$E$183+$E$564)</f>
      </c>
      <c r="G566" s="20">
        <f>$G$565*(Inputs!$F$183+$E$564)</f>
      </c>
      <c r="H566" s="20">
        <f>$H$565*(Inputs!$G$183+$E$564)</f>
      </c>
      <c r="I566" s="20">
        <f>$I$565*(Inputs!$H$183+$E$564)</f>
      </c>
      <c r="J566" s="20">
        <f>$J$565*(Inputs!$I$183+$E$564)</f>
      </c>
    </row>
    <row r="567" spans="2:10" x14ac:dyDescent="0.25">
      <c r="B567" s="2" t="s">
        <v>1478</v>
      </c>
      <c r="C567" s="2" t="s">
        <v>14</v>
      </c>
      <c r="D567" s="20">
        <f>-(Inputs!$E$29+Inputs!$E$30)</f>
      </c>
      <c r="E567" s="20">
        <f>$E$565*Inputs!$D$184</f>
      </c>
      <c r="F567" s="20">
        <f>$F$565*Inputs!$E$184</f>
      </c>
      <c r="G567" s="20">
        <f>$G$565*Inputs!$F$184</f>
      </c>
      <c r="H567" s="20">
        <f>$H$565*Inputs!$G$184</f>
      </c>
      <c r="I567" s="20">
        <f>$I$565*Inputs!$H$184</f>
      </c>
      <c r="J567" s="20">
        <f>$J$565*Inputs!$I$184</f>
      </c>
    </row>
    <row r="568" spans="2:10" x14ac:dyDescent="0.25">
      <c r="B568" s="2" t="s">
        <v>1479</v>
      </c>
      <c r="C568" s="2" t="s">
        <v>14</v>
      </c>
      <c r="D568" s="20">
        <f>Normalization!$D$13-Inputs!$E$26-Inputs!$E$29-Inputs!$E$30</f>
      </c>
      <c r="E568" s="20">
        <f>$E$565*Inputs!$D$185</f>
      </c>
      <c r="F568" s="20">
        <f>$F$565*Inputs!$E$185</f>
      </c>
      <c r="G568" s="20">
        <f>$G$565*Inputs!$F$185</f>
      </c>
      <c r="H568" s="20">
        <f>$H$565*Inputs!$G$185</f>
      </c>
      <c r="I568" s="20">
        <f>$I$565*Inputs!$H$185</f>
      </c>
      <c r="J568" s="20">
        <f>$J$565*Inputs!$I$185</f>
      </c>
    </row>
    <row r="569" spans="2:10" x14ac:dyDescent="0.25">
      <c r="B569" s="9" t="s">
        <v>1480</v>
      </c>
      <c r="C569" s="2" t="s">
        <v>14</v>
      </c>
      <c r="D569" s="34">
        <f>$D$566-$D$567+$D$568</f>
      </c>
      <c r="E569" s="34">
        <f>$E$566-$E$567+$E$568</f>
      </c>
      <c r="F569" s="34">
        <f>$F$566-$F$567+$F$568</f>
      </c>
      <c r="G569" s="34">
        <f>$G$566-$G$567+$G$568</f>
      </c>
      <c r="H569" s="34">
        <f>$H$566-$H$567+$H$568</f>
      </c>
      <c r="I569" s="34">
        <f>$I$566-$I$567+$I$568</f>
      </c>
      <c r="J569" s="34">
        <f>$J$566-$J$567+$J$568</f>
      </c>
    </row>
    <row r="570" spans="2:10" x14ac:dyDescent="0.25">
      <c r="B570" s="2" t="s">
        <v>1481</v>
      </c>
      <c r="C570" s="2" t="s">
        <v>14</v>
      </c>
      <c r="E570" s="20">
        <f>Inputs!$E$57</f>
      </c>
      <c r="F570" s="20">
        <f>$E$575</f>
      </c>
      <c r="G570" s="20">
        <f>$F$575</f>
      </c>
      <c r="H570" s="20">
        <f>$G$575</f>
      </c>
      <c r="I570" s="20">
        <f>$H$575</f>
      </c>
      <c r="J570" s="20">
        <f>$I$575</f>
      </c>
    </row>
    <row r="571" spans="2:10" x14ac:dyDescent="0.25">
      <c r="B571" s="2" t="s">
        <v>1482</v>
      </c>
      <c r="C571" s="2" t="s">
        <v>14</v>
      </c>
      <c r="D571" s="20">
        <f>Inputs!$E$51</f>
      </c>
      <c r="E571" s="20">
        <f>IF(Inputs!$D$180="ppe_rollforward",Inputs!$D$187*$E$570,$E$565*Inputs!$D$186)</f>
      </c>
      <c r="F571" s="20">
        <f>IF(Inputs!$D$180="ppe_rollforward",Inputs!$E$187*$F$570,$F$565*Inputs!$E$186)</f>
      </c>
      <c r="G571" s="20">
        <f>IF(Inputs!$D$180="ppe_rollforward",Inputs!$F$187*$G$570,$G$565*Inputs!$F$186)</f>
      </c>
      <c r="H571" s="20">
        <f>IF(Inputs!$D$180="ppe_rollforward",Inputs!$G$187*$H$570,$H$565*Inputs!$G$186)</f>
      </c>
      <c r="I571" s="20">
        <f>IF(Inputs!$D$180="ppe_rollforward",Inputs!$H$187*$I$570,$I$565*Inputs!$H$186)</f>
      </c>
      <c r="J571" s="20">
        <f>IF(Inputs!$D$180="ppe_rollforward",Inputs!$I$187*$J$570,$J$565*Inputs!$I$186)</f>
      </c>
    </row>
    <row r="572" spans="2:10" x14ac:dyDescent="0.25">
      <c r="B572" s="2" t="s">
        <v>1483</v>
      </c>
      <c r="C572" s="2" t="s">
        <v>14</v>
      </c>
      <c r="D572" s="20">
        <f>Inputs!$E$52</f>
      </c>
      <c r="E572" s="20">
        <f>IF(Inputs!$D$180="ppe_rollforward",$E$565*Inputs!$D$188,0)</f>
      </c>
      <c r="F572" s="20">
        <f>IF(Inputs!$D$180="ppe_rollforward",$F$565*Inputs!$E$188,0)</f>
      </c>
      <c r="G572" s="20">
        <f>IF(Inputs!$D$180="ppe_rollforward",$G$565*Inputs!$F$188,0)</f>
      </c>
      <c r="H572" s="20">
        <f>IF(Inputs!$D$180="ppe_rollforward",$H$565*Inputs!$G$188,0)</f>
      </c>
      <c r="I572" s="20">
        <f>IF(Inputs!$D$180="ppe_rollforward",$I$565*Inputs!$H$188,0)</f>
      </c>
      <c r="J572" s="20">
        <f>IF(Inputs!$D$180="ppe_rollforward",$J$565*Inputs!$I$188,0)</f>
      </c>
    </row>
    <row r="573" spans="2:10" x14ac:dyDescent="0.25">
      <c r="B573" s="2" t="s">
        <v>1484</v>
      </c>
      <c r="C573" s="2" t="s">
        <v>14</v>
      </c>
      <c r="D573" s="20">
        <f>$D$571+$D$572</f>
      </c>
      <c r="E573" s="20">
        <f>$E$571+$E$572</f>
      </c>
      <c r="F573" s="20">
        <f>$F$571+$F$572</f>
      </c>
      <c r="G573" s="20">
        <f>$G$571+$G$572</f>
      </c>
      <c r="H573" s="20">
        <f>$H$571+$H$572</f>
      </c>
      <c r="I573" s="20">
        <f>$I$571+$I$572</f>
      </c>
      <c r="J573" s="20">
        <f>$J$571+$J$572</f>
      </c>
    </row>
    <row r="574" spans="2:10" x14ac:dyDescent="0.25">
      <c r="B574" s="2" t="s">
        <v>1485</v>
      </c>
      <c r="C574" s="2" t="s">
        <v>14</v>
      </c>
      <c r="D574" s="20">
        <f>-Inputs!$E$111</f>
      </c>
      <c r="E574" s="20">
        <f>IF(Inputs!$D$181="absolute",Inputs!$D$190,$E$565*Inputs!$D$189)</f>
      </c>
      <c r="F574" s="20">
        <f>IF(Inputs!$D$181="absolute",Inputs!$E$190,$F$565*Inputs!$E$189)</f>
      </c>
      <c r="G574" s="20">
        <f>IF(Inputs!$D$181="absolute",Inputs!$F$190,$G$565*Inputs!$F$189)</f>
      </c>
      <c r="H574" s="20">
        <f>IF(Inputs!$D$181="absolute",Inputs!$G$190,$H$565*Inputs!$G$189)</f>
      </c>
      <c r="I574" s="20">
        <f>IF(Inputs!$D$181="absolute",Inputs!$H$190,$I$565*Inputs!$H$189)</f>
      </c>
      <c r="J574" s="20">
        <f>$J$565*Inputs!$I$189</f>
      </c>
    </row>
    <row r="575" spans="2:10" x14ac:dyDescent="0.25">
      <c r="B575" s="2" t="s">
        <v>1486</v>
      </c>
      <c r="C575" s="2" t="s">
        <v>14</v>
      </c>
      <c r="D575" s="20">
        <f>Inputs!$E$57</f>
      </c>
      <c r="E575" s="20">
        <f>$E$570+$E$574-$E$571</f>
      </c>
      <c r="F575" s="20">
        <f>$F$570+$F$574-$F$571</f>
      </c>
      <c r="G575" s="20">
        <f>$G$570+$G$574-$G$571</f>
      </c>
      <c r="H575" s="20">
        <f>$H$570+$H$574-$H$571</f>
      </c>
      <c r="I575" s="20">
        <f>$I$570+$I$574-$I$571</f>
      </c>
      <c r="J575" s="20">
        <f>$J$570+$J$574-$J$571</f>
      </c>
    </row>
    <row r="576" spans="2:10" x14ac:dyDescent="0.25">
      <c r="B576" s="9" t="s">
        <v>1487</v>
      </c>
      <c r="C576" s="2" t="s">
        <v>14</v>
      </c>
      <c r="D576" s="35">
        <f>$D$569-$D$573</f>
      </c>
      <c r="E576" s="35">
        <f>$E$569-$E$573</f>
      </c>
      <c r="F576" s="35">
        <f>$F$569-$F$573</f>
      </c>
      <c r="G576" s="35">
        <f>$G$569-$G$573</f>
      </c>
      <c r="H576" s="35">
        <f>$H$569-$H$573</f>
      </c>
      <c r="I576" s="35">
        <f>$I$569-$I$573</f>
      </c>
      <c r="J576" s="35">
        <f>$J$569-$J$573</f>
      </c>
    </row>
    <row r="577" spans="2:10" x14ac:dyDescent="0.25">
      <c r="B577" s="2" t="s">
        <v>1488</v>
      </c>
      <c r="C577" s="2" t="s">
        <v>54</v>
      </c>
      <c r="D577" s="11">
        <f>Inputs!$D$133</f>
      </c>
      <c r="E577" s="11">
        <f>Inputs!$D$196</f>
      </c>
      <c r="F577" s="11">
        <f>Inputs!$E$196</f>
      </c>
      <c r="G577" s="11">
        <f>Inputs!$F$196</f>
      </c>
      <c r="H577" s="11">
        <f>Inputs!$G$196</f>
      </c>
      <c r="I577" s="11">
        <f>Inputs!$H$196</f>
      </c>
      <c r="J577" s="11">
        <f>Inputs!$I$196</f>
      </c>
    </row>
    <row r="578" spans="2:10" x14ac:dyDescent="0.25">
      <c r="B578" s="2" t="s">
        <v>1489</v>
      </c>
      <c r="C578" s="2" t="s">
        <v>14</v>
      </c>
      <c r="D578" s="20">
        <f>$D$576*$D$577</f>
      </c>
      <c r="E578" s="20">
        <f>$E$576*$E$577</f>
      </c>
      <c r="F578" s="20">
        <f>$F$576*$F$577</f>
      </c>
      <c r="G578" s="20">
        <f>$G$576*$G$577</f>
      </c>
      <c r="H578" s="20">
        <f>$H$576*$H$577</f>
      </c>
      <c r="I578" s="20">
        <f>$I$576*$I$577</f>
      </c>
      <c r="J578" s="20">
        <f>$J$576*$J$577</f>
      </c>
    </row>
    <row r="579" spans="2:10" x14ac:dyDescent="0.25">
      <c r="B579" s="2" t="s">
        <v>1490</v>
      </c>
      <c r="C579" s="2" t="s">
        <v>14</v>
      </c>
      <c r="D579" s="33">
        <f>$D$576-$D$578</f>
      </c>
      <c r="E579" s="33">
        <f>$E$576-$E$578</f>
      </c>
      <c r="F579" s="33">
        <f>$F$576-$F$578</f>
      </c>
      <c r="G579" s="33">
        <f>$G$576-$G$578</f>
      </c>
      <c r="H579" s="33">
        <f>$H$576-$H$578</f>
      </c>
      <c r="I579" s="33">
        <f>$I$576-$I$578</f>
      </c>
      <c r="J579" s="33">
        <f>$J$576-$J$578</f>
      </c>
    </row>
    <row r="580" spans="2:10" x14ac:dyDescent="0.25">
      <c r="B580" s="2" t="s">
        <v>1491</v>
      </c>
      <c r="C580" s="2" t="s">
        <v>14</v>
      </c>
      <c r="D580" s="20">
        <f>$D$565*(1-((Inputs!$E$26+Inputs!$E$51+Inputs!$E$52)/$D$565))</f>
      </c>
      <c r="E580" s="20">
        <f>$E$565*(1-(Inputs!$D$183+$E$564))</f>
      </c>
      <c r="F580" s="20">
        <f>$F$565*(1-(Inputs!$E$183+$E$564))</f>
      </c>
      <c r="G580" s="20">
        <f>$G$565*(1-(Inputs!$F$183+$E$564))</f>
      </c>
      <c r="H580" s="20">
        <f>$H$565*(1-(Inputs!$G$183+$E$564))</f>
      </c>
      <c r="I580" s="20">
        <f>$I$565*(1-(Inputs!$H$183+$E$564))</f>
      </c>
      <c r="J580" s="20">
        <f>$J$565*(1-(Inputs!$I$183+$E$564))</f>
      </c>
    </row>
    <row r="581" spans="2:10" x14ac:dyDescent="0.25">
      <c r="B581" s="2" t="s">
        <v>1492</v>
      </c>
      <c r="C581" s="2" t="s">
        <v>14</v>
      </c>
      <c r="D581" s="20">
        <f>Inputs!$E$67</f>
      </c>
      <c r="E581" s="20">
        <f>$E$565*Inputs!$D$191/Inputs!$D$18</f>
      </c>
      <c r="F581" s="20">
        <f>$F$565*Inputs!$E$191/Inputs!$D$18</f>
      </c>
      <c r="G581" s="20">
        <f>$G$565*Inputs!$F$191/Inputs!$D$18</f>
      </c>
      <c r="H581" s="20">
        <f>$H$565*Inputs!$G$191/Inputs!$D$18</f>
      </c>
      <c r="I581" s="20">
        <f>$I$565*Inputs!$H$191/Inputs!$D$18</f>
      </c>
      <c r="J581" s="20">
        <f>$J$565*Inputs!$I$191/Inputs!$D$18</f>
      </c>
    </row>
    <row r="582" spans="2:10" x14ac:dyDescent="0.25">
      <c r="B582" s="2" t="s">
        <v>1493</v>
      </c>
      <c r="C582" s="2" t="s">
        <v>14</v>
      </c>
      <c r="D582" s="20">
        <f>Inputs!$E$66</f>
      </c>
      <c r="E582" s="20">
        <f>$E$580*Inputs!$D$192/Inputs!$D$18</f>
      </c>
      <c r="F582" s="20">
        <f>$F$580*Inputs!$E$192/Inputs!$D$18</f>
      </c>
      <c r="G582" s="20">
        <f>$G$580*Inputs!$F$192/Inputs!$D$18</f>
      </c>
      <c r="H582" s="20">
        <f>$H$580*Inputs!$G$192/Inputs!$D$18</f>
      </c>
      <c r="I582" s="20">
        <f>$I$580*Inputs!$H$192/Inputs!$D$18</f>
      </c>
      <c r="J582" s="20">
        <f>$J$580*Inputs!$I$192/Inputs!$D$18</f>
      </c>
    </row>
    <row r="583" spans="2:10" x14ac:dyDescent="0.25">
      <c r="B583" s="2" t="s">
        <v>1494</v>
      </c>
      <c r="C583" s="2" t="s">
        <v>14</v>
      </c>
      <c r="D583" s="20">
        <f>Inputs!$E$93</f>
      </c>
      <c r="E583" s="20">
        <f>$E$580*Inputs!$D$193/Inputs!$D$18</f>
      </c>
      <c r="F583" s="20">
        <f>$F$580*Inputs!$E$193/Inputs!$D$18</f>
      </c>
      <c r="G583" s="20">
        <f>$G$580*Inputs!$F$193/Inputs!$D$18</f>
      </c>
      <c r="H583" s="20">
        <f>$H$580*Inputs!$G$193/Inputs!$D$18</f>
      </c>
      <c r="I583" s="20">
        <f>$I$580*Inputs!$H$193/Inputs!$D$18</f>
      </c>
      <c r="J583" s="20">
        <f>$J$580*Inputs!$I$193/Inputs!$D$18</f>
      </c>
    </row>
    <row r="584" spans="2:10" x14ac:dyDescent="0.25">
      <c r="B584" s="2" t="s">
        <v>1495</v>
      </c>
      <c r="C584" s="2" t="s">
        <v>14</v>
      </c>
      <c r="D584" s="20">
        <f>Inputs!$E$70+Inputs!$E$72+Inputs!$E$71</f>
      </c>
      <c r="E584" s="20">
        <f>$E$565*Inputs!$D$194</f>
      </c>
      <c r="F584" s="20">
        <f>$F$565*Inputs!$E$194</f>
      </c>
      <c r="G584" s="20">
        <f>$G$565*Inputs!$F$194</f>
      </c>
      <c r="H584" s="20">
        <f>$H$565*Inputs!$G$194</f>
      </c>
      <c r="I584" s="20">
        <f>$I$565*Inputs!$H$194</f>
      </c>
      <c r="J584" s="20">
        <f>$J$565*Inputs!$I$194</f>
      </c>
    </row>
    <row r="585" spans="2:10" x14ac:dyDescent="0.25">
      <c r="B585" s="2" t="s">
        <v>1496</v>
      </c>
      <c r="C585" s="2" t="s">
        <v>14</v>
      </c>
      <c r="D585" s="20">
        <f>Inputs!$E$94+Inputs!$E$95+Inputs!$E$97+Inputs!$E$98+Inputs!$E$99</f>
      </c>
      <c r="E585" s="20">
        <f>$E$565*Inputs!$D$195</f>
      </c>
      <c r="F585" s="20">
        <f>$F$565*Inputs!$E$195</f>
      </c>
      <c r="G585" s="20">
        <f>$G$565*Inputs!$F$195</f>
      </c>
      <c r="H585" s="20">
        <f>$H$565*Inputs!$G$195</f>
      </c>
      <c r="I585" s="20">
        <f>$I$565*Inputs!$H$195</f>
      </c>
      <c r="J585" s="20">
        <f>$J$565*Inputs!$I$195</f>
      </c>
    </row>
    <row r="586" spans="2:10" x14ac:dyDescent="0.25">
      <c r="B586" s="2" t="s">
        <v>1497</v>
      </c>
      <c r="C586" s="2" t="s">
        <v>14</v>
      </c>
      <c r="D586" s="33">
        <f>$D$581+$D$582+$D$584-$D$583-$D$585</f>
      </c>
      <c r="E586" s="33">
        <f>$E$581+$E$582+$E$584-$E$583-$E$585</f>
      </c>
      <c r="F586" s="33">
        <f>$F$581+$F$582+$F$584-$F$583-$F$585</f>
      </c>
      <c r="G586" s="33">
        <f>$G$581+$G$582+$G$584-$G$583-$G$585</f>
      </c>
      <c r="H586" s="33">
        <f>$H$581+$H$582+$H$584-$H$583-$H$585</f>
      </c>
      <c r="I586" s="33">
        <f>$I$581+$I$582+$I$584-$I$583-$I$585</f>
      </c>
      <c r="J586" s="33">
        <f>$J$581+$J$582+$J$584-$J$583-$J$585</f>
      </c>
    </row>
    <row r="587" spans="2:10" x14ac:dyDescent="0.25">
      <c r="B587" s="2" t="s">
        <v>1498</v>
      </c>
      <c r="C587" s="2" t="s">
        <v>14</v>
      </c>
      <c r="E587" s="20">
        <f>$E$586-$D$586</f>
      </c>
      <c r="F587" s="20">
        <f>$F$586-$E$586</f>
      </c>
      <c r="G587" s="20">
        <f>$G$586-$F$586</f>
      </c>
      <c r="H587" s="20">
        <f>$H$586-$G$586</f>
      </c>
      <c r="I587" s="20">
        <f>$I$586-$H$586</f>
      </c>
      <c r="J587" s="20">
        <f>$J$586-$I$586</f>
      </c>
    </row>
    <row r="588" spans="2:10" x14ac:dyDescent="0.25">
      <c r="B588" s="2" t="s">
        <v>1499</v>
      </c>
      <c r="C588" s="2" t="s">
        <v>14</v>
      </c>
      <c r="D588" s="20">
        <f>Inputs!$E$49</f>
      </c>
      <c r="E588" s="20">
        <f>$E$579+Inputs!$D$202*(1-$E$577)</f>
      </c>
      <c r="F588" s="20">
        <f>$F$579+Inputs!$D$202*(1-$F$577)</f>
      </c>
      <c r="G588" s="20">
        <f>$G$579+Inputs!$D$202*(1-$G$577)</f>
      </c>
      <c r="H588" s="20">
        <f>$H$579+Inputs!$D$202*(1-$H$577)</f>
      </c>
      <c r="I588" s="20">
        <f>$I$579+Inputs!$D$202*(1-$I$577)</f>
      </c>
      <c r="J588" s="20">
        <f>$J$579+Inputs!$D$202*(1-$J$577)</f>
      </c>
    </row>
    <row r="589" spans="2:10" x14ac:dyDescent="0.25">
      <c r="B589" s="2" t="s">
        <v>1500</v>
      </c>
      <c r="C589" s="2" t="s">
        <v>14</v>
      </c>
      <c r="E589" s="20">
        <f>IF(Inputs!$D$200=1,Inputs!$D$201*$D$588,0)</f>
      </c>
      <c r="F589" s="20">
        <f>IF(Inputs!$D$200=1,Inputs!$D$201*$E$588,0)</f>
      </c>
      <c r="G589" s="20">
        <f>IF(Inputs!$D$200=1,Inputs!$D$201*$F$588,0)</f>
      </c>
      <c r="H589" s="20">
        <f>IF(Inputs!$D$200=1,Inputs!$D$201*$G$588,0)</f>
      </c>
      <c r="I589" s="20">
        <f>IF(Inputs!$D$200=1,Inputs!$D$201*$H$588,0)</f>
      </c>
      <c r="J589" s="20">
        <f>IF(Inputs!$D$200=1,Inputs!$D$201*$I$588,0)</f>
      </c>
    </row>
    <row r="590" spans="2:10" x14ac:dyDescent="0.25">
      <c r="B590" s="9" t="s">
        <v>1501</v>
      </c>
      <c r="C590" s="2" t="s">
        <v>14</v>
      </c>
      <c r="E590" s="34">
        <f>$E$579+$E$573-$E$574-$E$587-$E$589</f>
      </c>
      <c r="F590" s="34">
        <f>$F$579+$F$573-$F$574-$F$587-$F$589</f>
      </c>
      <c r="G590" s="34">
        <f>$G$579+$G$573-$G$574-$G$587-$G$589</f>
      </c>
      <c r="H590" s="34">
        <f>$H$579+$H$573-$H$574-$H$587-$H$589</f>
      </c>
      <c r="I590" s="34">
        <f>$I$579+$I$573-$I$574-$I$587-$I$589</f>
      </c>
      <c r="J590" s="34">
        <f>$J$579+$J$573-$J$574-$J$587-$J$589</f>
      </c>
    </row>
    <row r="591" spans="2:9" x14ac:dyDescent="0.25">
      <c r="B591" s="2" t="s">
        <v>1502</v>
      </c>
      <c r="C591" s="2" t="s">
        <v>14</v>
      </c>
      <c r="E591" s="20">
        <f>$E$590*DCF!$D$10*(1+WACC!$D$54)^(-DCF!$D$12)</f>
      </c>
      <c r="F591" s="20">
        <f>$F$590*DCF!$E$10*(1+WACC!$D$54)^(-DCF!$E$12)</f>
      </c>
      <c r="G591" s="20">
        <f>$G$590*DCF!$F$10*(1+WACC!$D$54)^(-DCF!$F$12)</f>
      </c>
      <c r="H591" s="20">
        <f>$H$590*DCF!$G$10*(1+WACC!$D$54)^(-DCF!$G$12)</f>
      </c>
      <c r="I591" s="20">
        <f>$I$590*DCF!$H$10*(1+WACC!$D$54)^(-DCF!$H$12)</f>
      </c>
    </row>
    <row r="592" spans="2:4" x14ac:dyDescent="0.25">
      <c r="B592" s="2" t="s">
        <v>1503</v>
      </c>
      <c r="C592" s="2" t="s">
        <v>14</v>
      </c>
      <c r="D592" s="20">
        <f>SUM($E$591:$I$591)</f>
      </c>
    </row>
    <row r="593" spans="2:4" x14ac:dyDescent="0.25">
      <c r="B593" s="2" t="s">
        <v>1504</v>
      </c>
      <c r="C593" s="2" t="s">
        <v>14</v>
      </c>
      <c r="D593" s="20">
        <f>IF(Inputs!$D$171="gordon",IF(Inputs!$D$172&lt;WACC!$D$54,$J$590/(WACC!$D$54-Inputs!$D$172),"n/a"),$I$569*Inputs!$D$173)</f>
      </c>
    </row>
    <row r="594" spans="2:4" x14ac:dyDescent="0.25">
      <c r="B594" s="2" t="s">
        <v>1505</v>
      </c>
      <c r="C594" s="2" t="s">
        <v>14</v>
      </c>
      <c r="D594" s="33">
        <f>IFERROR($D$592+$D$593*(1+WACC!$D$54)^(-DCF!$D$21),"n/a")</f>
      </c>
    </row>
    <row r="595" spans="2:4" x14ac:dyDescent="0.25">
      <c r="B595" s="2" t="s">
        <v>1506</v>
      </c>
      <c r="C595" s="2" t="s">
        <v>14</v>
      </c>
      <c r="D595" s="20">
        <f>IFERROR($D$594+DCF!$D$51,"n/a")</f>
      </c>
    </row>
    <row r="596" spans="2:4" x14ac:dyDescent="0.25">
      <c r="B596" s="9" t="s">
        <v>1507</v>
      </c>
      <c r="C596" s="2" t="s">
        <v>14</v>
      </c>
      <c r="D596" s="40">
        <f>IFERROR($D$595/Inputs!$D$15,"n/a")</f>
      </c>
    </row>
    <row r="598" spans="2:5" x14ac:dyDescent="0.25">
      <c r="B598" s="2" t="s">
        <v>1508</v>
      </c>
      <c r="C598" s="2" t="s">
        <v>326</v>
      </c>
      <c r="D598" s="15">
        <f>Inputs!$G$237*Inputs!$D$233</f>
      </c>
      <c r="E598" s="15">
        <f>Inputs!$E$237*Inputs!$D$234</f>
      </c>
    </row>
    <row r="599" spans="2:10" x14ac:dyDescent="0.25">
      <c r="B599" s="9" t="s">
        <v>1509</v>
      </c>
      <c r="C599" s="2" t="s">
        <v>14</v>
      </c>
      <c r="D599" s="35">
        <f>Inputs!$E$23</f>
      </c>
      <c r="E599" s="35">
        <f>$D$599*(1+(Inputs!$D$182+$D$598))</f>
      </c>
      <c r="F599" s="35">
        <f>$E$599*(1+(Inputs!$E$182+$D$598))</f>
      </c>
      <c r="G599" s="35">
        <f>$F$599*(1+(Inputs!$F$182+$D$598))</f>
      </c>
      <c r="H599" s="35">
        <f>$G$599*(1+(Inputs!$G$182+$D$598))</f>
      </c>
      <c r="I599" s="35">
        <f>$H$599*(1+(Inputs!$H$182+$D$598))</f>
      </c>
      <c r="J599" s="35">
        <f>$I$599*(1+Inputs!$D$172)</f>
      </c>
    </row>
    <row r="600" spans="2:10" x14ac:dyDescent="0.25">
      <c r="B600" s="2" t="s">
        <v>1510</v>
      </c>
      <c r="C600" s="2" t="s">
        <v>14</v>
      </c>
      <c r="D600" s="20">
        <f>$D$599*((Inputs!$E$26+Inputs!$E$51+Inputs!$E$52)/$D$599)</f>
      </c>
      <c r="E600" s="20">
        <f>$E$599*(Inputs!$D$183+$E$598)</f>
      </c>
      <c r="F600" s="20">
        <f>$F$599*(Inputs!$E$183+$E$598)</f>
      </c>
      <c r="G600" s="20">
        <f>$G$599*(Inputs!$F$183+$E$598)</f>
      </c>
      <c r="H600" s="20">
        <f>$H$599*(Inputs!$G$183+$E$598)</f>
      </c>
      <c r="I600" s="20">
        <f>$I$599*(Inputs!$H$183+$E$598)</f>
      </c>
      <c r="J600" s="20">
        <f>$J$599*(Inputs!$I$183+$E$598)</f>
      </c>
    </row>
    <row r="601" spans="2:10" x14ac:dyDescent="0.25">
      <c r="B601" s="2" t="s">
        <v>1511</v>
      </c>
      <c r="C601" s="2" t="s">
        <v>14</v>
      </c>
      <c r="D601" s="20">
        <f>-(Inputs!$E$29+Inputs!$E$30)</f>
      </c>
      <c r="E601" s="20">
        <f>$E$599*Inputs!$D$184</f>
      </c>
      <c r="F601" s="20">
        <f>$F$599*Inputs!$E$184</f>
      </c>
      <c r="G601" s="20">
        <f>$G$599*Inputs!$F$184</f>
      </c>
      <c r="H601" s="20">
        <f>$H$599*Inputs!$G$184</f>
      </c>
      <c r="I601" s="20">
        <f>$I$599*Inputs!$H$184</f>
      </c>
      <c r="J601" s="20">
        <f>$J$599*Inputs!$I$184</f>
      </c>
    </row>
    <row r="602" spans="2:10" x14ac:dyDescent="0.25">
      <c r="B602" s="2" t="s">
        <v>1512</v>
      </c>
      <c r="C602" s="2" t="s">
        <v>14</v>
      </c>
      <c r="D602" s="20">
        <f>Normalization!$D$13-Inputs!$E$26-Inputs!$E$29-Inputs!$E$30</f>
      </c>
      <c r="E602" s="20">
        <f>$E$599*Inputs!$D$185</f>
      </c>
      <c r="F602" s="20">
        <f>$F$599*Inputs!$E$185</f>
      </c>
      <c r="G602" s="20">
        <f>$G$599*Inputs!$F$185</f>
      </c>
      <c r="H602" s="20">
        <f>$H$599*Inputs!$G$185</f>
      </c>
      <c r="I602" s="20">
        <f>$I$599*Inputs!$H$185</f>
      </c>
      <c r="J602" s="20">
        <f>$J$599*Inputs!$I$185</f>
      </c>
    </row>
    <row r="603" spans="2:10" x14ac:dyDescent="0.25">
      <c r="B603" s="9" t="s">
        <v>1513</v>
      </c>
      <c r="C603" s="2" t="s">
        <v>14</v>
      </c>
      <c r="D603" s="34">
        <f>$D$600-$D$601+$D$602</f>
      </c>
      <c r="E603" s="34">
        <f>$E$600-$E$601+$E$602</f>
      </c>
      <c r="F603" s="34">
        <f>$F$600-$F$601+$F$602</f>
      </c>
      <c r="G603" s="34">
        <f>$G$600-$G$601+$G$602</f>
      </c>
      <c r="H603" s="34">
        <f>$H$600-$H$601+$H$602</f>
      </c>
      <c r="I603" s="34">
        <f>$I$600-$I$601+$I$602</f>
      </c>
      <c r="J603" s="34">
        <f>$J$600-$J$601+$J$602</f>
      </c>
    </row>
    <row r="604" spans="2:10" x14ac:dyDescent="0.25">
      <c r="B604" s="2" t="s">
        <v>1514</v>
      </c>
      <c r="C604" s="2" t="s">
        <v>14</v>
      </c>
      <c r="E604" s="20">
        <f>Inputs!$E$57</f>
      </c>
      <c r="F604" s="20">
        <f>$E$609</f>
      </c>
      <c r="G604" s="20">
        <f>$F$609</f>
      </c>
      <c r="H604" s="20">
        <f>$G$609</f>
      </c>
      <c r="I604" s="20">
        <f>$H$609</f>
      </c>
      <c r="J604" s="20">
        <f>$I$609</f>
      </c>
    </row>
    <row r="605" spans="2:10" x14ac:dyDescent="0.25">
      <c r="B605" s="2" t="s">
        <v>1515</v>
      </c>
      <c r="C605" s="2" t="s">
        <v>14</v>
      </c>
      <c r="D605" s="20">
        <f>Inputs!$E$51</f>
      </c>
      <c r="E605" s="20">
        <f>IF(Inputs!$D$180="ppe_rollforward",Inputs!$D$187*$E$604,$E$599*Inputs!$D$186)</f>
      </c>
      <c r="F605" s="20">
        <f>IF(Inputs!$D$180="ppe_rollforward",Inputs!$E$187*$F$604,$F$599*Inputs!$E$186)</f>
      </c>
      <c r="G605" s="20">
        <f>IF(Inputs!$D$180="ppe_rollforward",Inputs!$F$187*$G$604,$G$599*Inputs!$F$186)</f>
      </c>
      <c r="H605" s="20">
        <f>IF(Inputs!$D$180="ppe_rollforward",Inputs!$G$187*$H$604,$H$599*Inputs!$G$186)</f>
      </c>
      <c r="I605" s="20">
        <f>IF(Inputs!$D$180="ppe_rollforward",Inputs!$H$187*$I$604,$I$599*Inputs!$H$186)</f>
      </c>
      <c r="J605" s="20">
        <f>IF(Inputs!$D$180="ppe_rollforward",Inputs!$I$187*$J$604,$J$599*Inputs!$I$186)</f>
      </c>
    </row>
    <row r="606" spans="2:10" x14ac:dyDescent="0.25">
      <c r="B606" s="2" t="s">
        <v>1516</v>
      </c>
      <c r="C606" s="2" t="s">
        <v>14</v>
      </c>
      <c r="D606" s="20">
        <f>Inputs!$E$52</f>
      </c>
      <c r="E606" s="20">
        <f>IF(Inputs!$D$180="ppe_rollforward",$E$599*Inputs!$D$188,0)</f>
      </c>
      <c r="F606" s="20">
        <f>IF(Inputs!$D$180="ppe_rollforward",$F$599*Inputs!$E$188,0)</f>
      </c>
      <c r="G606" s="20">
        <f>IF(Inputs!$D$180="ppe_rollforward",$G$599*Inputs!$F$188,0)</f>
      </c>
      <c r="H606" s="20">
        <f>IF(Inputs!$D$180="ppe_rollforward",$H$599*Inputs!$G$188,0)</f>
      </c>
      <c r="I606" s="20">
        <f>IF(Inputs!$D$180="ppe_rollforward",$I$599*Inputs!$H$188,0)</f>
      </c>
      <c r="J606" s="20">
        <f>IF(Inputs!$D$180="ppe_rollforward",$J$599*Inputs!$I$188,0)</f>
      </c>
    </row>
    <row r="607" spans="2:10" x14ac:dyDescent="0.25">
      <c r="B607" s="2" t="s">
        <v>1517</v>
      </c>
      <c r="C607" s="2" t="s">
        <v>14</v>
      </c>
      <c r="D607" s="20">
        <f>$D$605+$D$606</f>
      </c>
      <c r="E607" s="20">
        <f>$E$605+$E$606</f>
      </c>
      <c r="F607" s="20">
        <f>$F$605+$F$606</f>
      </c>
      <c r="G607" s="20">
        <f>$G$605+$G$606</f>
      </c>
      <c r="H607" s="20">
        <f>$H$605+$H$606</f>
      </c>
      <c r="I607" s="20">
        <f>$I$605+$I$606</f>
      </c>
      <c r="J607" s="20">
        <f>$J$605+$J$606</f>
      </c>
    </row>
    <row r="608" spans="2:10" x14ac:dyDescent="0.25">
      <c r="B608" s="2" t="s">
        <v>1518</v>
      </c>
      <c r="C608" s="2" t="s">
        <v>14</v>
      </c>
      <c r="D608" s="20">
        <f>-Inputs!$E$111</f>
      </c>
      <c r="E608" s="20">
        <f>IF(Inputs!$D$181="absolute",Inputs!$D$190,$E$599*Inputs!$D$189)</f>
      </c>
      <c r="F608" s="20">
        <f>IF(Inputs!$D$181="absolute",Inputs!$E$190,$F$599*Inputs!$E$189)</f>
      </c>
      <c r="G608" s="20">
        <f>IF(Inputs!$D$181="absolute",Inputs!$F$190,$G$599*Inputs!$F$189)</f>
      </c>
      <c r="H608" s="20">
        <f>IF(Inputs!$D$181="absolute",Inputs!$G$190,$H$599*Inputs!$G$189)</f>
      </c>
      <c r="I608" s="20">
        <f>IF(Inputs!$D$181="absolute",Inputs!$H$190,$I$599*Inputs!$H$189)</f>
      </c>
      <c r="J608" s="20">
        <f>$J$599*Inputs!$I$189</f>
      </c>
    </row>
    <row r="609" spans="2:10" x14ac:dyDescent="0.25">
      <c r="B609" s="2" t="s">
        <v>1519</v>
      </c>
      <c r="C609" s="2" t="s">
        <v>14</v>
      </c>
      <c r="D609" s="20">
        <f>Inputs!$E$57</f>
      </c>
      <c r="E609" s="20">
        <f>$E$604+$E$608-$E$605</f>
      </c>
      <c r="F609" s="20">
        <f>$F$604+$F$608-$F$605</f>
      </c>
      <c r="G609" s="20">
        <f>$G$604+$G$608-$G$605</f>
      </c>
      <c r="H609" s="20">
        <f>$H$604+$H$608-$H$605</f>
      </c>
      <c r="I609" s="20">
        <f>$I$604+$I$608-$I$605</f>
      </c>
      <c r="J609" s="20">
        <f>$J$604+$J$608-$J$605</f>
      </c>
    </row>
    <row r="610" spans="2:10" x14ac:dyDescent="0.25">
      <c r="B610" s="9" t="s">
        <v>1520</v>
      </c>
      <c r="C610" s="2" t="s">
        <v>14</v>
      </c>
      <c r="D610" s="35">
        <f>$D$603-$D$607</f>
      </c>
      <c r="E610" s="35">
        <f>$E$603-$E$607</f>
      </c>
      <c r="F610" s="35">
        <f>$F$603-$F$607</f>
      </c>
      <c r="G610" s="35">
        <f>$G$603-$G$607</f>
      </c>
      <c r="H610" s="35">
        <f>$H$603-$H$607</f>
      </c>
      <c r="I610" s="35">
        <f>$I$603-$I$607</f>
      </c>
      <c r="J610" s="35">
        <f>$J$603-$J$607</f>
      </c>
    </row>
    <row r="611" spans="2:10" x14ac:dyDescent="0.25">
      <c r="B611" s="2" t="s">
        <v>1521</v>
      </c>
      <c r="C611" s="2" t="s">
        <v>54</v>
      </c>
      <c r="D611" s="11">
        <f>Inputs!$D$133</f>
      </c>
      <c r="E611" s="11">
        <f>Inputs!$D$196</f>
      </c>
      <c r="F611" s="11">
        <f>Inputs!$E$196</f>
      </c>
      <c r="G611" s="11">
        <f>Inputs!$F$196</f>
      </c>
      <c r="H611" s="11">
        <f>Inputs!$G$196</f>
      </c>
      <c r="I611" s="11">
        <f>Inputs!$H$196</f>
      </c>
      <c r="J611" s="11">
        <f>Inputs!$I$196</f>
      </c>
    </row>
    <row r="612" spans="2:10" x14ac:dyDescent="0.25">
      <c r="B612" s="2" t="s">
        <v>1522</v>
      </c>
      <c r="C612" s="2" t="s">
        <v>14</v>
      </c>
      <c r="D612" s="20">
        <f>$D$610*$D$611</f>
      </c>
      <c r="E612" s="20">
        <f>$E$610*$E$611</f>
      </c>
      <c r="F612" s="20">
        <f>$F$610*$F$611</f>
      </c>
      <c r="G612" s="20">
        <f>$G$610*$G$611</f>
      </c>
      <c r="H612" s="20">
        <f>$H$610*$H$611</f>
      </c>
      <c r="I612" s="20">
        <f>$I$610*$I$611</f>
      </c>
      <c r="J612" s="20">
        <f>$J$610*$J$611</f>
      </c>
    </row>
    <row r="613" spans="2:10" x14ac:dyDescent="0.25">
      <c r="B613" s="2" t="s">
        <v>1523</v>
      </c>
      <c r="C613" s="2" t="s">
        <v>14</v>
      </c>
      <c r="D613" s="33">
        <f>$D$610-$D$612</f>
      </c>
      <c r="E613" s="33">
        <f>$E$610-$E$612</f>
      </c>
      <c r="F613" s="33">
        <f>$F$610-$F$612</f>
      </c>
      <c r="G613" s="33">
        <f>$G$610-$G$612</f>
      </c>
      <c r="H613" s="33">
        <f>$H$610-$H$612</f>
      </c>
      <c r="I613" s="33">
        <f>$I$610-$I$612</f>
      </c>
      <c r="J613" s="33">
        <f>$J$610-$J$612</f>
      </c>
    </row>
    <row r="614" spans="2:10" x14ac:dyDescent="0.25">
      <c r="B614" s="2" t="s">
        <v>1524</v>
      </c>
      <c r="C614" s="2" t="s">
        <v>14</v>
      </c>
      <c r="D614" s="20">
        <f>$D$599*(1-((Inputs!$E$26+Inputs!$E$51+Inputs!$E$52)/$D$599))</f>
      </c>
      <c r="E614" s="20">
        <f>$E$599*(1-(Inputs!$D$183+$E$598))</f>
      </c>
      <c r="F614" s="20">
        <f>$F$599*(1-(Inputs!$E$183+$E$598))</f>
      </c>
      <c r="G614" s="20">
        <f>$G$599*(1-(Inputs!$F$183+$E$598))</f>
      </c>
      <c r="H614" s="20">
        <f>$H$599*(1-(Inputs!$G$183+$E$598))</f>
      </c>
      <c r="I614" s="20">
        <f>$I$599*(1-(Inputs!$H$183+$E$598))</f>
      </c>
      <c r="J614" s="20">
        <f>$J$599*(1-(Inputs!$I$183+$E$598))</f>
      </c>
    </row>
    <row r="615" spans="2:10" x14ac:dyDescent="0.25">
      <c r="B615" s="2" t="s">
        <v>1525</v>
      </c>
      <c r="C615" s="2" t="s">
        <v>14</v>
      </c>
      <c r="D615" s="20">
        <f>Inputs!$E$67</f>
      </c>
      <c r="E615" s="20">
        <f>$E$599*Inputs!$D$191/Inputs!$D$18</f>
      </c>
      <c r="F615" s="20">
        <f>$F$599*Inputs!$E$191/Inputs!$D$18</f>
      </c>
      <c r="G615" s="20">
        <f>$G$599*Inputs!$F$191/Inputs!$D$18</f>
      </c>
      <c r="H615" s="20">
        <f>$H$599*Inputs!$G$191/Inputs!$D$18</f>
      </c>
      <c r="I615" s="20">
        <f>$I$599*Inputs!$H$191/Inputs!$D$18</f>
      </c>
      <c r="J615" s="20">
        <f>$J$599*Inputs!$I$191/Inputs!$D$18</f>
      </c>
    </row>
    <row r="616" spans="2:10" x14ac:dyDescent="0.25">
      <c r="B616" s="2" t="s">
        <v>1526</v>
      </c>
      <c r="C616" s="2" t="s">
        <v>14</v>
      </c>
      <c r="D616" s="20">
        <f>Inputs!$E$66</f>
      </c>
      <c r="E616" s="20">
        <f>$E$614*Inputs!$D$192/Inputs!$D$18</f>
      </c>
      <c r="F616" s="20">
        <f>$F$614*Inputs!$E$192/Inputs!$D$18</f>
      </c>
      <c r="G616" s="20">
        <f>$G$614*Inputs!$F$192/Inputs!$D$18</f>
      </c>
      <c r="H616" s="20">
        <f>$H$614*Inputs!$G$192/Inputs!$D$18</f>
      </c>
      <c r="I616" s="20">
        <f>$I$614*Inputs!$H$192/Inputs!$D$18</f>
      </c>
      <c r="J616" s="20">
        <f>$J$614*Inputs!$I$192/Inputs!$D$18</f>
      </c>
    </row>
    <row r="617" spans="2:10" x14ac:dyDescent="0.25">
      <c r="B617" s="2" t="s">
        <v>1527</v>
      </c>
      <c r="C617" s="2" t="s">
        <v>14</v>
      </c>
      <c r="D617" s="20">
        <f>Inputs!$E$93</f>
      </c>
      <c r="E617" s="20">
        <f>$E$614*Inputs!$D$193/Inputs!$D$18</f>
      </c>
      <c r="F617" s="20">
        <f>$F$614*Inputs!$E$193/Inputs!$D$18</f>
      </c>
      <c r="G617" s="20">
        <f>$G$614*Inputs!$F$193/Inputs!$D$18</f>
      </c>
      <c r="H617" s="20">
        <f>$H$614*Inputs!$G$193/Inputs!$D$18</f>
      </c>
      <c r="I617" s="20">
        <f>$I$614*Inputs!$H$193/Inputs!$D$18</f>
      </c>
      <c r="J617" s="20">
        <f>$J$614*Inputs!$I$193/Inputs!$D$18</f>
      </c>
    </row>
    <row r="618" spans="2:10" x14ac:dyDescent="0.25">
      <c r="B618" s="2" t="s">
        <v>1528</v>
      </c>
      <c r="C618" s="2" t="s">
        <v>14</v>
      </c>
      <c r="D618" s="20">
        <f>Inputs!$E$70+Inputs!$E$72+Inputs!$E$71</f>
      </c>
      <c r="E618" s="20">
        <f>$E$599*Inputs!$D$194</f>
      </c>
      <c r="F618" s="20">
        <f>$F$599*Inputs!$E$194</f>
      </c>
      <c r="G618" s="20">
        <f>$G$599*Inputs!$F$194</f>
      </c>
      <c r="H618" s="20">
        <f>$H$599*Inputs!$G$194</f>
      </c>
      <c r="I618" s="20">
        <f>$I$599*Inputs!$H$194</f>
      </c>
      <c r="J618" s="20">
        <f>$J$599*Inputs!$I$194</f>
      </c>
    </row>
    <row r="619" spans="2:10" x14ac:dyDescent="0.25">
      <c r="B619" s="2" t="s">
        <v>1529</v>
      </c>
      <c r="C619" s="2" t="s">
        <v>14</v>
      </c>
      <c r="D619" s="20">
        <f>Inputs!$E$94+Inputs!$E$95+Inputs!$E$97+Inputs!$E$98+Inputs!$E$99</f>
      </c>
      <c r="E619" s="20">
        <f>$E$599*Inputs!$D$195</f>
      </c>
      <c r="F619" s="20">
        <f>$F$599*Inputs!$E$195</f>
      </c>
      <c r="G619" s="20">
        <f>$G$599*Inputs!$F$195</f>
      </c>
      <c r="H619" s="20">
        <f>$H$599*Inputs!$G$195</f>
      </c>
      <c r="I619" s="20">
        <f>$I$599*Inputs!$H$195</f>
      </c>
      <c r="J619" s="20">
        <f>$J$599*Inputs!$I$195</f>
      </c>
    </row>
    <row r="620" spans="2:10" x14ac:dyDescent="0.25">
      <c r="B620" s="2" t="s">
        <v>1530</v>
      </c>
      <c r="C620" s="2" t="s">
        <v>14</v>
      </c>
      <c r="D620" s="33">
        <f>$D$615+$D$616+$D$618-$D$617-$D$619</f>
      </c>
      <c r="E620" s="33">
        <f>$E$615+$E$616+$E$618-$E$617-$E$619</f>
      </c>
      <c r="F620" s="33">
        <f>$F$615+$F$616+$F$618-$F$617-$F$619</f>
      </c>
      <c r="G620" s="33">
        <f>$G$615+$G$616+$G$618-$G$617-$G$619</f>
      </c>
      <c r="H620" s="33">
        <f>$H$615+$H$616+$H$618-$H$617-$H$619</f>
      </c>
      <c r="I620" s="33">
        <f>$I$615+$I$616+$I$618-$I$617-$I$619</f>
      </c>
      <c r="J620" s="33">
        <f>$J$615+$J$616+$J$618-$J$617-$J$619</f>
      </c>
    </row>
    <row r="621" spans="2:10" x14ac:dyDescent="0.25">
      <c r="B621" s="2" t="s">
        <v>1531</v>
      </c>
      <c r="C621" s="2" t="s">
        <v>14</v>
      </c>
      <c r="E621" s="20">
        <f>$E$620-$D$620</f>
      </c>
      <c r="F621" s="20">
        <f>$F$620-$E$620</f>
      </c>
      <c r="G621" s="20">
        <f>$G$620-$F$620</f>
      </c>
      <c r="H621" s="20">
        <f>$H$620-$G$620</f>
      </c>
      <c r="I621" s="20">
        <f>$I$620-$H$620</f>
      </c>
      <c r="J621" s="20">
        <f>$J$620-$I$620</f>
      </c>
    </row>
    <row r="622" spans="2:10" x14ac:dyDescent="0.25">
      <c r="B622" s="2" t="s">
        <v>1532</v>
      </c>
      <c r="C622" s="2" t="s">
        <v>14</v>
      </c>
      <c r="D622" s="20">
        <f>Inputs!$E$49</f>
      </c>
      <c r="E622" s="20">
        <f>$E$613+Inputs!$D$202*(1-$E$611)</f>
      </c>
      <c r="F622" s="20">
        <f>$F$613+Inputs!$D$202*(1-$F$611)</f>
      </c>
      <c r="G622" s="20">
        <f>$G$613+Inputs!$D$202*(1-$G$611)</f>
      </c>
      <c r="H622" s="20">
        <f>$H$613+Inputs!$D$202*(1-$H$611)</f>
      </c>
      <c r="I622" s="20">
        <f>$I$613+Inputs!$D$202*(1-$I$611)</f>
      </c>
      <c r="J622" s="20">
        <f>$J$613+Inputs!$D$202*(1-$J$611)</f>
      </c>
    </row>
    <row r="623" spans="2:10" x14ac:dyDescent="0.25">
      <c r="B623" s="2" t="s">
        <v>1533</v>
      </c>
      <c r="C623" s="2" t="s">
        <v>14</v>
      </c>
      <c r="E623" s="20">
        <f>IF(Inputs!$D$200=1,Inputs!$D$201*$D$622,0)</f>
      </c>
      <c r="F623" s="20">
        <f>IF(Inputs!$D$200=1,Inputs!$D$201*$E$622,0)</f>
      </c>
      <c r="G623" s="20">
        <f>IF(Inputs!$D$200=1,Inputs!$D$201*$F$622,0)</f>
      </c>
      <c r="H623" s="20">
        <f>IF(Inputs!$D$200=1,Inputs!$D$201*$G$622,0)</f>
      </c>
      <c r="I623" s="20">
        <f>IF(Inputs!$D$200=1,Inputs!$D$201*$H$622,0)</f>
      </c>
      <c r="J623" s="20">
        <f>IF(Inputs!$D$200=1,Inputs!$D$201*$I$622,0)</f>
      </c>
    </row>
    <row r="624" spans="2:10" x14ac:dyDescent="0.25">
      <c r="B624" s="9" t="s">
        <v>1534</v>
      </c>
      <c r="C624" s="2" t="s">
        <v>14</v>
      </c>
      <c r="E624" s="34">
        <f>$E$613+$E$607-$E$608-$E$621-$E$623</f>
      </c>
      <c r="F624" s="34">
        <f>$F$613+$F$607-$F$608-$F$621-$F$623</f>
      </c>
      <c r="G624" s="34">
        <f>$G$613+$G$607-$G$608-$G$621-$G$623</f>
      </c>
      <c r="H624" s="34">
        <f>$H$613+$H$607-$H$608-$H$621-$H$623</f>
      </c>
      <c r="I624" s="34">
        <f>$I$613+$I$607-$I$608-$I$621-$I$623</f>
      </c>
      <c r="J624" s="34">
        <f>$J$613+$J$607-$J$608-$J$621-$J$623</f>
      </c>
    </row>
    <row r="625" spans="2:9" x14ac:dyDescent="0.25">
      <c r="B625" s="2" t="s">
        <v>1535</v>
      </c>
      <c r="C625" s="2" t="s">
        <v>14</v>
      </c>
      <c r="E625" s="20">
        <f>$E$624*DCF!$D$10*(1+WACC!$D$54)^(-DCF!$D$12)</f>
      </c>
      <c r="F625" s="20">
        <f>$F$624*DCF!$E$10*(1+WACC!$D$54)^(-DCF!$E$12)</f>
      </c>
      <c r="G625" s="20">
        <f>$G$624*DCF!$F$10*(1+WACC!$D$54)^(-DCF!$F$12)</f>
      </c>
      <c r="H625" s="20">
        <f>$H$624*DCF!$G$10*(1+WACC!$D$54)^(-DCF!$G$12)</f>
      </c>
      <c r="I625" s="20">
        <f>$I$624*DCF!$H$10*(1+WACC!$D$54)^(-DCF!$H$12)</f>
      </c>
    </row>
    <row r="626" spans="2:4" x14ac:dyDescent="0.25">
      <c r="B626" s="2" t="s">
        <v>1536</v>
      </c>
      <c r="C626" s="2" t="s">
        <v>14</v>
      </c>
      <c r="D626" s="20">
        <f>SUM($E$625:$I$625)</f>
      </c>
    </row>
    <row r="627" spans="2:4" x14ac:dyDescent="0.25">
      <c r="B627" s="2" t="s">
        <v>1537</v>
      </c>
      <c r="C627" s="2" t="s">
        <v>14</v>
      </c>
      <c r="D627" s="20">
        <f>IF(Inputs!$D$171="gordon",IF(Inputs!$D$172&lt;WACC!$D$54,$J$624/(WACC!$D$54-Inputs!$D$172),"n/a"),$I$603*Inputs!$D$173)</f>
      </c>
    </row>
    <row r="628" spans="2:4" x14ac:dyDescent="0.25">
      <c r="B628" s="2" t="s">
        <v>1538</v>
      </c>
      <c r="C628" s="2" t="s">
        <v>14</v>
      </c>
      <c r="D628" s="33">
        <f>IFERROR($D$626+$D$627*(1+WACC!$D$54)^(-DCF!$D$21),"n/a")</f>
      </c>
    </row>
    <row r="629" spans="2:4" x14ac:dyDescent="0.25">
      <c r="B629" s="2" t="s">
        <v>1539</v>
      </c>
      <c r="C629" s="2" t="s">
        <v>14</v>
      </c>
      <c r="D629" s="20">
        <f>IFERROR($D$628+DCF!$D$51,"n/a")</f>
      </c>
    </row>
    <row r="630" spans="2:4" x14ac:dyDescent="0.25">
      <c r="B630" s="9" t="s">
        <v>1540</v>
      </c>
      <c r="C630" s="2" t="s">
        <v>14</v>
      </c>
      <c r="D630" s="40">
        <f>IFERROR($D$629/Inputs!$D$15,"n/a")</f>
      </c>
    </row>
    <row r="632" spans="2:5" x14ac:dyDescent="0.25">
      <c r="B632" s="2" t="s">
        <v>1541</v>
      </c>
      <c r="C632" s="2" t="s">
        <v>326</v>
      </c>
      <c r="D632" s="15">
        <f>Inputs!$G$237*Inputs!$D$233</f>
      </c>
      <c r="E632" s="15">
        <f>Inputs!$F$237*Inputs!$D$234</f>
      </c>
    </row>
    <row r="633" spans="2:10" x14ac:dyDescent="0.25">
      <c r="B633" s="9" t="s">
        <v>1542</v>
      </c>
      <c r="C633" s="2" t="s">
        <v>14</v>
      </c>
      <c r="D633" s="35">
        <f>Inputs!$E$23</f>
      </c>
      <c r="E633" s="35">
        <f>$D$633*(1+(Inputs!$D$182+$D$632))</f>
      </c>
      <c r="F633" s="35">
        <f>$E$633*(1+(Inputs!$E$182+$D$632))</f>
      </c>
      <c r="G633" s="35">
        <f>$F$633*(1+(Inputs!$F$182+$D$632))</f>
      </c>
      <c r="H633" s="35">
        <f>$G$633*(1+(Inputs!$G$182+$D$632))</f>
      </c>
      <c r="I633" s="35">
        <f>$H$633*(1+(Inputs!$H$182+$D$632))</f>
      </c>
      <c r="J633" s="35">
        <f>$I$633*(1+Inputs!$D$172)</f>
      </c>
    </row>
    <row r="634" spans="2:10" x14ac:dyDescent="0.25">
      <c r="B634" s="2" t="s">
        <v>1543</v>
      </c>
      <c r="C634" s="2" t="s">
        <v>14</v>
      </c>
      <c r="D634" s="20">
        <f>$D$633*((Inputs!$E$26+Inputs!$E$51+Inputs!$E$52)/$D$633)</f>
      </c>
      <c r="E634" s="20">
        <f>$E$633*(Inputs!$D$183+$E$632)</f>
      </c>
      <c r="F634" s="20">
        <f>$F$633*(Inputs!$E$183+$E$632)</f>
      </c>
      <c r="G634" s="20">
        <f>$G$633*(Inputs!$F$183+$E$632)</f>
      </c>
      <c r="H634" s="20">
        <f>$H$633*(Inputs!$G$183+$E$632)</f>
      </c>
      <c r="I634" s="20">
        <f>$I$633*(Inputs!$H$183+$E$632)</f>
      </c>
      <c r="J634" s="20">
        <f>$J$633*(Inputs!$I$183+$E$632)</f>
      </c>
    </row>
    <row r="635" spans="2:10" x14ac:dyDescent="0.25">
      <c r="B635" s="2" t="s">
        <v>1544</v>
      </c>
      <c r="C635" s="2" t="s">
        <v>14</v>
      </c>
      <c r="D635" s="20">
        <f>-(Inputs!$E$29+Inputs!$E$30)</f>
      </c>
      <c r="E635" s="20">
        <f>$E$633*Inputs!$D$184</f>
      </c>
      <c r="F635" s="20">
        <f>$F$633*Inputs!$E$184</f>
      </c>
      <c r="G635" s="20">
        <f>$G$633*Inputs!$F$184</f>
      </c>
      <c r="H635" s="20">
        <f>$H$633*Inputs!$G$184</f>
      </c>
      <c r="I635" s="20">
        <f>$I$633*Inputs!$H$184</f>
      </c>
      <c r="J635" s="20">
        <f>$J$633*Inputs!$I$184</f>
      </c>
    </row>
    <row r="636" spans="2:10" x14ac:dyDescent="0.25">
      <c r="B636" s="2" t="s">
        <v>1545</v>
      </c>
      <c r="C636" s="2" t="s">
        <v>14</v>
      </c>
      <c r="D636" s="20">
        <f>Normalization!$D$13-Inputs!$E$26-Inputs!$E$29-Inputs!$E$30</f>
      </c>
      <c r="E636" s="20">
        <f>$E$633*Inputs!$D$185</f>
      </c>
      <c r="F636" s="20">
        <f>$F$633*Inputs!$E$185</f>
      </c>
      <c r="G636" s="20">
        <f>$G$633*Inputs!$F$185</f>
      </c>
      <c r="H636" s="20">
        <f>$H$633*Inputs!$G$185</f>
      </c>
      <c r="I636" s="20">
        <f>$I$633*Inputs!$H$185</f>
      </c>
      <c r="J636" s="20">
        <f>$J$633*Inputs!$I$185</f>
      </c>
    </row>
    <row r="637" spans="2:10" x14ac:dyDescent="0.25">
      <c r="B637" s="9" t="s">
        <v>1546</v>
      </c>
      <c r="C637" s="2" t="s">
        <v>14</v>
      </c>
      <c r="D637" s="34">
        <f>$D$634-$D$635+$D$636</f>
      </c>
      <c r="E637" s="34">
        <f>$E$634-$E$635+$E$636</f>
      </c>
      <c r="F637" s="34">
        <f>$F$634-$F$635+$F$636</f>
      </c>
      <c r="G637" s="34">
        <f>$G$634-$G$635+$G$636</f>
      </c>
      <c r="H637" s="34">
        <f>$H$634-$H$635+$H$636</f>
      </c>
      <c r="I637" s="34">
        <f>$I$634-$I$635+$I$636</f>
      </c>
      <c r="J637" s="34">
        <f>$J$634-$J$635+$J$636</f>
      </c>
    </row>
    <row r="638" spans="2:10" x14ac:dyDescent="0.25">
      <c r="B638" s="2" t="s">
        <v>1547</v>
      </c>
      <c r="C638" s="2" t="s">
        <v>14</v>
      </c>
      <c r="E638" s="20">
        <f>Inputs!$E$57</f>
      </c>
      <c r="F638" s="20">
        <f>$E$643</f>
      </c>
      <c r="G638" s="20">
        <f>$F$643</f>
      </c>
      <c r="H638" s="20">
        <f>$G$643</f>
      </c>
      <c r="I638" s="20">
        <f>$H$643</f>
      </c>
      <c r="J638" s="20">
        <f>$I$643</f>
      </c>
    </row>
    <row r="639" spans="2:10" x14ac:dyDescent="0.25">
      <c r="B639" s="2" t="s">
        <v>1548</v>
      </c>
      <c r="C639" s="2" t="s">
        <v>14</v>
      </c>
      <c r="D639" s="20">
        <f>Inputs!$E$51</f>
      </c>
      <c r="E639" s="20">
        <f>IF(Inputs!$D$180="ppe_rollforward",Inputs!$D$187*$E$638,$E$633*Inputs!$D$186)</f>
      </c>
      <c r="F639" s="20">
        <f>IF(Inputs!$D$180="ppe_rollforward",Inputs!$E$187*$F$638,$F$633*Inputs!$E$186)</f>
      </c>
      <c r="G639" s="20">
        <f>IF(Inputs!$D$180="ppe_rollforward",Inputs!$F$187*$G$638,$G$633*Inputs!$F$186)</f>
      </c>
      <c r="H639" s="20">
        <f>IF(Inputs!$D$180="ppe_rollforward",Inputs!$G$187*$H$638,$H$633*Inputs!$G$186)</f>
      </c>
      <c r="I639" s="20">
        <f>IF(Inputs!$D$180="ppe_rollforward",Inputs!$H$187*$I$638,$I$633*Inputs!$H$186)</f>
      </c>
      <c r="J639" s="20">
        <f>IF(Inputs!$D$180="ppe_rollforward",Inputs!$I$187*$J$638,$J$633*Inputs!$I$186)</f>
      </c>
    </row>
    <row r="640" spans="2:10" x14ac:dyDescent="0.25">
      <c r="B640" s="2" t="s">
        <v>1549</v>
      </c>
      <c r="C640" s="2" t="s">
        <v>14</v>
      </c>
      <c r="D640" s="20">
        <f>Inputs!$E$52</f>
      </c>
      <c r="E640" s="20">
        <f>IF(Inputs!$D$180="ppe_rollforward",$E$633*Inputs!$D$188,0)</f>
      </c>
      <c r="F640" s="20">
        <f>IF(Inputs!$D$180="ppe_rollforward",$F$633*Inputs!$E$188,0)</f>
      </c>
      <c r="G640" s="20">
        <f>IF(Inputs!$D$180="ppe_rollforward",$G$633*Inputs!$F$188,0)</f>
      </c>
      <c r="H640" s="20">
        <f>IF(Inputs!$D$180="ppe_rollforward",$H$633*Inputs!$G$188,0)</f>
      </c>
      <c r="I640" s="20">
        <f>IF(Inputs!$D$180="ppe_rollforward",$I$633*Inputs!$H$188,0)</f>
      </c>
      <c r="J640" s="20">
        <f>IF(Inputs!$D$180="ppe_rollforward",$J$633*Inputs!$I$188,0)</f>
      </c>
    </row>
    <row r="641" spans="2:10" x14ac:dyDescent="0.25">
      <c r="B641" s="2" t="s">
        <v>1550</v>
      </c>
      <c r="C641" s="2" t="s">
        <v>14</v>
      </c>
      <c r="D641" s="20">
        <f>$D$639+$D$640</f>
      </c>
      <c r="E641" s="20">
        <f>$E$639+$E$640</f>
      </c>
      <c r="F641" s="20">
        <f>$F$639+$F$640</f>
      </c>
      <c r="G641" s="20">
        <f>$G$639+$G$640</f>
      </c>
      <c r="H641" s="20">
        <f>$H$639+$H$640</f>
      </c>
      <c r="I641" s="20">
        <f>$I$639+$I$640</f>
      </c>
      <c r="J641" s="20">
        <f>$J$639+$J$640</f>
      </c>
    </row>
    <row r="642" spans="2:10" x14ac:dyDescent="0.25">
      <c r="B642" s="2" t="s">
        <v>1551</v>
      </c>
      <c r="C642" s="2" t="s">
        <v>14</v>
      </c>
      <c r="D642" s="20">
        <f>-Inputs!$E$111</f>
      </c>
      <c r="E642" s="20">
        <f>IF(Inputs!$D$181="absolute",Inputs!$D$190,$E$633*Inputs!$D$189)</f>
      </c>
      <c r="F642" s="20">
        <f>IF(Inputs!$D$181="absolute",Inputs!$E$190,$F$633*Inputs!$E$189)</f>
      </c>
      <c r="G642" s="20">
        <f>IF(Inputs!$D$181="absolute",Inputs!$F$190,$G$633*Inputs!$F$189)</f>
      </c>
      <c r="H642" s="20">
        <f>IF(Inputs!$D$181="absolute",Inputs!$G$190,$H$633*Inputs!$G$189)</f>
      </c>
      <c r="I642" s="20">
        <f>IF(Inputs!$D$181="absolute",Inputs!$H$190,$I$633*Inputs!$H$189)</f>
      </c>
      <c r="J642" s="20">
        <f>$J$633*Inputs!$I$189</f>
      </c>
    </row>
    <row r="643" spans="2:10" x14ac:dyDescent="0.25">
      <c r="B643" s="2" t="s">
        <v>1552</v>
      </c>
      <c r="C643" s="2" t="s">
        <v>14</v>
      </c>
      <c r="D643" s="20">
        <f>Inputs!$E$57</f>
      </c>
      <c r="E643" s="20">
        <f>$E$638+$E$642-$E$639</f>
      </c>
      <c r="F643" s="20">
        <f>$F$638+$F$642-$F$639</f>
      </c>
      <c r="G643" s="20">
        <f>$G$638+$G$642-$G$639</f>
      </c>
      <c r="H643" s="20">
        <f>$H$638+$H$642-$H$639</f>
      </c>
      <c r="I643" s="20">
        <f>$I$638+$I$642-$I$639</f>
      </c>
      <c r="J643" s="20">
        <f>$J$638+$J$642-$J$639</f>
      </c>
    </row>
    <row r="644" spans="2:10" x14ac:dyDescent="0.25">
      <c r="B644" s="9" t="s">
        <v>1553</v>
      </c>
      <c r="C644" s="2" t="s">
        <v>14</v>
      </c>
      <c r="D644" s="35">
        <f>$D$637-$D$641</f>
      </c>
      <c r="E644" s="35">
        <f>$E$637-$E$641</f>
      </c>
      <c r="F644" s="35">
        <f>$F$637-$F$641</f>
      </c>
      <c r="G644" s="35">
        <f>$G$637-$G$641</f>
      </c>
      <c r="H644" s="35">
        <f>$H$637-$H$641</f>
      </c>
      <c r="I644" s="35">
        <f>$I$637-$I$641</f>
      </c>
      <c r="J644" s="35">
        <f>$J$637-$J$641</f>
      </c>
    </row>
    <row r="645" spans="2:10" x14ac:dyDescent="0.25">
      <c r="B645" s="2" t="s">
        <v>1554</v>
      </c>
      <c r="C645" s="2" t="s">
        <v>54</v>
      </c>
      <c r="D645" s="11">
        <f>Inputs!$D$133</f>
      </c>
      <c r="E645" s="11">
        <f>Inputs!$D$196</f>
      </c>
      <c r="F645" s="11">
        <f>Inputs!$E$196</f>
      </c>
      <c r="G645" s="11">
        <f>Inputs!$F$196</f>
      </c>
      <c r="H645" s="11">
        <f>Inputs!$G$196</f>
      </c>
      <c r="I645" s="11">
        <f>Inputs!$H$196</f>
      </c>
      <c r="J645" s="11">
        <f>Inputs!$I$196</f>
      </c>
    </row>
    <row r="646" spans="2:10" x14ac:dyDescent="0.25">
      <c r="B646" s="2" t="s">
        <v>1555</v>
      </c>
      <c r="C646" s="2" t="s">
        <v>14</v>
      </c>
      <c r="D646" s="20">
        <f>$D$644*$D$645</f>
      </c>
      <c r="E646" s="20">
        <f>$E$644*$E$645</f>
      </c>
      <c r="F646" s="20">
        <f>$F$644*$F$645</f>
      </c>
      <c r="G646" s="20">
        <f>$G$644*$G$645</f>
      </c>
      <c r="H646" s="20">
        <f>$H$644*$H$645</f>
      </c>
      <c r="I646" s="20">
        <f>$I$644*$I$645</f>
      </c>
      <c r="J646" s="20">
        <f>$J$644*$J$645</f>
      </c>
    </row>
    <row r="647" spans="2:10" x14ac:dyDescent="0.25">
      <c r="B647" s="2" t="s">
        <v>1556</v>
      </c>
      <c r="C647" s="2" t="s">
        <v>14</v>
      </c>
      <c r="D647" s="33">
        <f>$D$644-$D$646</f>
      </c>
      <c r="E647" s="33">
        <f>$E$644-$E$646</f>
      </c>
      <c r="F647" s="33">
        <f>$F$644-$F$646</f>
      </c>
      <c r="G647" s="33">
        <f>$G$644-$G$646</f>
      </c>
      <c r="H647" s="33">
        <f>$H$644-$H$646</f>
      </c>
      <c r="I647" s="33">
        <f>$I$644-$I$646</f>
      </c>
      <c r="J647" s="33">
        <f>$J$644-$J$646</f>
      </c>
    </row>
    <row r="648" spans="2:10" x14ac:dyDescent="0.25">
      <c r="B648" s="2" t="s">
        <v>1557</v>
      </c>
      <c r="C648" s="2" t="s">
        <v>14</v>
      </c>
      <c r="D648" s="20">
        <f>$D$633*(1-((Inputs!$E$26+Inputs!$E$51+Inputs!$E$52)/$D$633))</f>
      </c>
      <c r="E648" s="20">
        <f>$E$633*(1-(Inputs!$D$183+$E$632))</f>
      </c>
      <c r="F648" s="20">
        <f>$F$633*(1-(Inputs!$E$183+$E$632))</f>
      </c>
      <c r="G648" s="20">
        <f>$G$633*(1-(Inputs!$F$183+$E$632))</f>
      </c>
      <c r="H648" s="20">
        <f>$H$633*(1-(Inputs!$G$183+$E$632))</f>
      </c>
      <c r="I648" s="20">
        <f>$I$633*(1-(Inputs!$H$183+$E$632))</f>
      </c>
      <c r="J648" s="20">
        <f>$J$633*(1-(Inputs!$I$183+$E$632))</f>
      </c>
    </row>
    <row r="649" spans="2:10" x14ac:dyDescent="0.25">
      <c r="B649" s="2" t="s">
        <v>1558</v>
      </c>
      <c r="C649" s="2" t="s">
        <v>14</v>
      </c>
      <c r="D649" s="20">
        <f>Inputs!$E$67</f>
      </c>
      <c r="E649" s="20">
        <f>$E$633*Inputs!$D$191/Inputs!$D$18</f>
      </c>
      <c r="F649" s="20">
        <f>$F$633*Inputs!$E$191/Inputs!$D$18</f>
      </c>
      <c r="G649" s="20">
        <f>$G$633*Inputs!$F$191/Inputs!$D$18</f>
      </c>
      <c r="H649" s="20">
        <f>$H$633*Inputs!$G$191/Inputs!$D$18</f>
      </c>
      <c r="I649" s="20">
        <f>$I$633*Inputs!$H$191/Inputs!$D$18</f>
      </c>
      <c r="J649" s="20">
        <f>$J$633*Inputs!$I$191/Inputs!$D$18</f>
      </c>
    </row>
    <row r="650" spans="2:10" x14ac:dyDescent="0.25">
      <c r="B650" s="2" t="s">
        <v>1559</v>
      </c>
      <c r="C650" s="2" t="s">
        <v>14</v>
      </c>
      <c r="D650" s="20">
        <f>Inputs!$E$66</f>
      </c>
      <c r="E650" s="20">
        <f>$E$648*Inputs!$D$192/Inputs!$D$18</f>
      </c>
      <c r="F650" s="20">
        <f>$F$648*Inputs!$E$192/Inputs!$D$18</f>
      </c>
      <c r="G650" s="20">
        <f>$G$648*Inputs!$F$192/Inputs!$D$18</f>
      </c>
      <c r="H650" s="20">
        <f>$H$648*Inputs!$G$192/Inputs!$D$18</f>
      </c>
      <c r="I650" s="20">
        <f>$I$648*Inputs!$H$192/Inputs!$D$18</f>
      </c>
      <c r="J650" s="20">
        <f>$J$648*Inputs!$I$192/Inputs!$D$18</f>
      </c>
    </row>
    <row r="651" spans="2:10" x14ac:dyDescent="0.25">
      <c r="B651" s="2" t="s">
        <v>1560</v>
      </c>
      <c r="C651" s="2" t="s">
        <v>14</v>
      </c>
      <c r="D651" s="20">
        <f>Inputs!$E$93</f>
      </c>
      <c r="E651" s="20">
        <f>$E$648*Inputs!$D$193/Inputs!$D$18</f>
      </c>
      <c r="F651" s="20">
        <f>$F$648*Inputs!$E$193/Inputs!$D$18</f>
      </c>
      <c r="G651" s="20">
        <f>$G$648*Inputs!$F$193/Inputs!$D$18</f>
      </c>
      <c r="H651" s="20">
        <f>$H$648*Inputs!$G$193/Inputs!$D$18</f>
      </c>
      <c r="I651" s="20">
        <f>$I$648*Inputs!$H$193/Inputs!$D$18</f>
      </c>
      <c r="J651" s="20">
        <f>$J$648*Inputs!$I$193/Inputs!$D$18</f>
      </c>
    </row>
    <row r="652" spans="2:10" x14ac:dyDescent="0.25">
      <c r="B652" s="2" t="s">
        <v>1561</v>
      </c>
      <c r="C652" s="2" t="s">
        <v>14</v>
      </c>
      <c r="D652" s="20">
        <f>Inputs!$E$70+Inputs!$E$72+Inputs!$E$71</f>
      </c>
      <c r="E652" s="20">
        <f>$E$633*Inputs!$D$194</f>
      </c>
      <c r="F652" s="20">
        <f>$F$633*Inputs!$E$194</f>
      </c>
      <c r="G652" s="20">
        <f>$G$633*Inputs!$F$194</f>
      </c>
      <c r="H652" s="20">
        <f>$H$633*Inputs!$G$194</f>
      </c>
      <c r="I652" s="20">
        <f>$I$633*Inputs!$H$194</f>
      </c>
      <c r="J652" s="20">
        <f>$J$633*Inputs!$I$194</f>
      </c>
    </row>
    <row r="653" spans="2:10" x14ac:dyDescent="0.25">
      <c r="B653" s="2" t="s">
        <v>1562</v>
      </c>
      <c r="C653" s="2" t="s">
        <v>14</v>
      </c>
      <c r="D653" s="20">
        <f>Inputs!$E$94+Inputs!$E$95+Inputs!$E$97+Inputs!$E$98+Inputs!$E$99</f>
      </c>
      <c r="E653" s="20">
        <f>$E$633*Inputs!$D$195</f>
      </c>
      <c r="F653" s="20">
        <f>$F$633*Inputs!$E$195</f>
      </c>
      <c r="G653" s="20">
        <f>$G$633*Inputs!$F$195</f>
      </c>
      <c r="H653" s="20">
        <f>$H$633*Inputs!$G$195</f>
      </c>
      <c r="I653" s="20">
        <f>$I$633*Inputs!$H$195</f>
      </c>
      <c r="J653" s="20">
        <f>$J$633*Inputs!$I$195</f>
      </c>
    </row>
    <row r="654" spans="2:10" x14ac:dyDescent="0.25">
      <c r="B654" s="2" t="s">
        <v>1563</v>
      </c>
      <c r="C654" s="2" t="s">
        <v>14</v>
      </c>
      <c r="D654" s="33">
        <f>$D$649+$D$650+$D$652-$D$651-$D$653</f>
      </c>
      <c r="E654" s="33">
        <f>$E$649+$E$650+$E$652-$E$651-$E$653</f>
      </c>
      <c r="F654" s="33">
        <f>$F$649+$F$650+$F$652-$F$651-$F$653</f>
      </c>
      <c r="G654" s="33">
        <f>$G$649+$G$650+$G$652-$G$651-$G$653</f>
      </c>
      <c r="H654" s="33">
        <f>$H$649+$H$650+$H$652-$H$651-$H$653</f>
      </c>
      <c r="I654" s="33">
        <f>$I$649+$I$650+$I$652-$I$651-$I$653</f>
      </c>
      <c r="J654" s="33">
        <f>$J$649+$J$650+$J$652-$J$651-$J$653</f>
      </c>
    </row>
    <row r="655" spans="2:10" x14ac:dyDescent="0.25">
      <c r="B655" s="2" t="s">
        <v>1564</v>
      </c>
      <c r="C655" s="2" t="s">
        <v>14</v>
      </c>
      <c r="E655" s="20">
        <f>$E$654-$D$654</f>
      </c>
      <c r="F655" s="20">
        <f>$F$654-$E$654</f>
      </c>
      <c r="G655" s="20">
        <f>$G$654-$F$654</f>
      </c>
      <c r="H655" s="20">
        <f>$H$654-$G$654</f>
      </c>
      <c r="I655" s="20">
        <f>$I$654-$H$654</f>
      </c>
      <c r="J655" s="20">
        <f>$J$654-$I$654</f>
      </c>
    </row>
    <row r="656" spans="2:10" x14ac:dyDescent="0.25">
      <c r="B656" s="2" t="s">
        <v>1565</v>
      </c>
      <c r="C656" s="2" t="s">
        <v>14</v>
      </c>
      <c r="D656" s="20">
        <f>Inputs!$E$49</f>
      </c>
      <c r="E656" s="20">
        <f>$E$647+Inputs!$D$202*(1-$E$645)</f>
      </c>
      <c r="F656" s="20">
        <f>$F$647+Inputs!$D$202*(1-$F$645)</f>
      </c>
      <c r="G656" s="20">
        <f>$G$647+Inputs!$D$202*(1-$G$645)</f>
      </c>
      <c r="H656" s="20">
        <f>$H$647+Inputs!$D$202*(1-$H$645)</f>
      </c>
      <c r="I656" s="20">
        <f>$I$647+Inputs!$D$202*(1-$I$645)</f>
      </c>
      <c r="J656" s="20">
        <f>$J$647+Inputs!$D$202*(1-$J$645)</f>
      </c>
    </row>
    <row r="657" spans="2:10" x14ac:dyDescent="0.25">
      <c r="B657" s="2" t="s">
        <v>1566</v>
      </c>
      <c r="C657" s="2" t="s">
        <v>14</v>
      </c>
      <c r="E657" s="20">
        <f>IF(Inputs!$D$200=1,Inputs!$D$201*$D$656,0)</f>
      </c>
      <c r="F657" s="20">
        <f>IF(Inputs!$D$200=1,Inputs!$D$201*$E$656,0)</f>
      </c>
      <c r="G657" s="20">
        <f>IF(Inputs!$D$200=1,Inputs!$D$201*$F$656,0)</f>
      </c>
      <c r="H657" s="20">
        <f>IF(Inputs!$D$200=1,Inputs!$D$201*$G$656,0)</f>
      </c>
      <c r="I657" s="20">
        <f>IF(Inputs!$D$200=1,Inputs!$D$201*$H$656,0)</f>
      </c>
      <c r="J657" s="20">
        <f>IF(Inputs!$D$200=1,Inputs!$D$201*$I$656,0)</f>
      </c>
    </row>
    <row r="658" spans="2:10" x14ac:dyDescent="0.25">
      <c r="B658" s="9" t="s">
        <v>1567</v>
      </c>
      <c r="C658" s="2" t="s">
        <v>14</v>
      </c>
      <c r="E658" s="34">
        <f>$E$647+$E$641-$E$642-$E$655-$E$657</f>
      </c>
      <c r="F658" s="34">
        <f>$F$647+$F$641-$F$642-$F$655-$F$657</f>
      </c>
      <c r="G658" s="34">
        <f>$G$647+$G$641-$G$642-$G$655-$G$657</f>
      </c>
      <c r="H658" s="34">
        <f>$H$647+$H$641-$H$642-$H$655-$H$657</f>
      </c>
      <c r="I658" s="34">
        <f>$I$647+$I$641-$I$642-$I$655-$I$657</f>
      </c>
      <c r="J658" s="34">
        <f>$J$647+$J$641-$J$642-$J$655-$J$657</f>
      </c>
    </row>
    <row r="659" spans="2:9" x14ac:dyDescent="0.25">
      <c r="B659" s="2" t="s">
        <v>1568</v>
      </c>
      <c r="C659" s="2" t="s">
        <v>14</v>
      </c>
      <c r="E659" s="20">
        <f>$E$658*DCF!$D$10*(1+WACC!$D$54)^(-DCF!$D$12)</f>
      </c>
      <c r="F659" s="20">
        <f>$F$658*DCF!$E$10*(1+WACC!$D$54)^(-DCF!$E$12)</f>
      </c>
      <c r="G659" s="20">
        <f>$G$658*DCF!$F$10*(1+WACC!$D$54)^(-DCF!$F$12)</f>
      </c>
      <c r="H659" s="20">
        <f>$H$658*DCF!$G$10*(1+WACC!$D$54)^(-DCF!$G$12)</f>
      </c>
      <c r="I659" s="20">
        <f>$I$658*DCF!$H$10*(1+WACC!$D$54)^(-DCF!$H$12)</f>
      </c>
    </row>
    <row r="660" spans="2:4" x14ac:dyDescent="0.25">
      <c r="B660" s="2" t="s">
        <v>1569</v>
      </c>
      <c r="C660" s="2" t="s">
        <v>14</v>
      </c>
      <c r="D660" s="20">
        <f>SUM($E$659:$I$659)</f>
      </c>
    </row>
    <row r="661" spans="2:4" x14ac:dyDescent="0.25">
      <c r="B661" s="2" t="s">
        <v>1570</v>
      </c>
      <c r="C661" s="2" t="s">
        <v>14</v>
      </c>
      <c r="D661" s="20">
        <f>IF(Inputs!$D$171="gordon",IF(Inputs!$D$172&lt;WACC!$D$54,$J$658/(WACC!$D$54-Inputs!$D$172),"n/a"),$I$637*Inputs!$D$173)</f>
      </c>
    </row>
    <row r="662" spans="2:4" x14ac:dyDescent="0.25">
      <c r="B662" s="2" t="s">
        <v>1571</v>
      </c>
      <c r="C662" s="2" t="s">
        <v>14</v>
      </c>
      <c r="D662" s="33">
        <f>IFERROR($D$660+$D$661*(1+WACC!$D$54)^(-DCF!$D$21),"n/a")</f>
      </c>
    </row>
    <row r="663" spans="2:4" x14ac:dyDescent="0.25">
      <c r="B663" s="2" t="s">
        <v>1572</v>
      </c>
      <c r="C663" s="2" t="s">
        <v>14</v>
      </c>
      <c r="D663" s="20">
        <f>IFERROR($D$662+DCF!$D$51,"n/a")</f>
      </c>
    </row>
    <row r="664" spans="2:4" x14ac:dyDescent="0.25">
      <c r="B664" s="9" t="s">
        <v>1573</v>
      </c>
      <c r="C664" s="2" t="s">
        <v>14</v>
      </c>
      <c r="D664" s="40">
        <f>IFERROR($D$663/Inputs!$D$15,"n/a")</f>
      </c>
    </row>
    <row r="666" spans="2:5" x14ac:dyDescent="0.25">
      <c r="B666" s="2" t="s">
        <v>1574</v>
      </c>
      <c r="C666" s="2" t="s">
        <v>326</v>
      </c>
      <c r="D666" s="15">
        <f>Inputs!$G$237*Inputs!$D$233</f>
      </c>
      <c r="E666" s="15">
        <f>Inputs!$G$237*Inputs!$D$234</f>
      </c>
    </row>
    <row r="667" spans="2:10" x14ac:dyDescent="0.25">
      <c r="B667" s="9" t="s">
        <v>1575</v>
      </c>
      <c r="C667" s="2" t="s">
        <v>14</v>
      </c>
      <c r="D667" s="35">
        <f>Inputs!$E$23</f>
      </c>
      <c r="E667" s="35">
        <f>$D$667*(1+(Inputs!$D$182+$D$666))</f>
      </c>
      <c r="F667" s="35">
        <f>$E$667*(1+(Inputs!$E$182+$D$666))</f>
      </c>
      <c r="G667" s="35">
        <f>$F$667*(1+(Inputs!$F$182+$D$666))</f>
      </c>
      <c r="H667" s="35">
        <f>$G$667*(1+(Inputs!$G$182+$D$666))</f>
      </c>
      <c r="I667" s="35">
        <f>$H$667*(1+(Inputs!$H$182+$D$666))</f>
      </c>
      <c r="J667" s="35">
        <f>$I$667*(1+Inputs!$D$172)</f>
      </c>
    </row>
    <row r="668" spans="2:10" x14ac:dyDescent="0.25">
      <c r="B668" s="2" t="s">
        <v>1576</v>
      </c>
      <c r="C668" s="2" t="s">
        <v>14</v>
      </c>
      <c r="D668" s="20">
        <f>$D$667*((Inputs!$E$26+Inputs!$E$51+Inputs!$E$52)/$D$667)</f>
      </c>
      <c r="E668" s="20">
        <f>$E$667*(Inputs!$D$183+$E$666)</f>
      </c>
      <c r="F668" s="20">
        <f>$F$667*(Inputs!$E$183+$E$666)</f>
      </c>
      <c r="G668" s="20">
        <f>$G$667*(Inputs!$F$183+$E$666)</f>
      </c>
      <c r="H668" s="20">
        <f>$H$667*(Inputs!$G$183+$E$666)</f>
      </c>
      <c r="I668" s="20">
        <f>$I$667*(Inputs!$H$183+$E$666)</f>
      </c>
      <c r="J668" s="20">
        <f>$J$667*(Inputs!$I$183+$E$666)</f>
      </c>
    </row>
    <row r="669" spans="2:10" x14ac:dyDescent="0.25">
      <c r="B669" s="2" t="s">
        <v>1577</v>
      </c>
      <c r="C669" s="2" t="s">
        <v>14</v>
      </c>
      <c r="D669" s="20">
        <f>-(Inputs!$E$29+Inputs!$E$30)</f>
      </c>
      <c r="E669" s="20">
        <f>$E$667*Inputs!$D$184</f>
      </c>
      <c r="F669" s="20">
        <f>$F$667*Inputs!$E$184</f>
      </c>
      <c r="G669" s="20">
        <f>$G$667*Inputs!$F$184</f>
      </c>
      <c r="H669" s="20">
        <f>$H$667*Inputs!$G$184</f>
      </c>
      <c r="I669" s="20">
        <f>$I$667*Inputs!$H$184</f>
      </c>
      <c r="J669" s="20">
        <f>$J$667*Inputs!$I$184</f>
      </c>
    </row>
    <row r="670" spans="2:10" x14ac:dyDescent="0.25">
      <c r="B670" s="2" t="s">
        <v>1578</v>
      </c>
      <c r="C670" s="2" t="s">
        <v>14</v>
      </c>
      <c r="D670" s="20">
        <f>Normalization!$D$13-Inputs!$E$26-Inputs!$E$29-Inputs!$E$30</f>
      </c>
      <c r="E670" s="20">
        <f>$E$667*Inputs!$D$185</f>
      </c>
      <c r="F670" s="20">
        <f>$F$667*Inputs!$E$185</f>
      </c>
      <c r="G670" s="20">
        <f>$G$667*Inputs!$F$185</f>
      </c>
      <c r="H670" s="20">
        <f>$H$667*Inputs!$G$185</f>
      </c>
      <c r="I670" s="20">
        <f>$I$667*Inputs!$H$185</f>
      </c>
      <c r="J670" s="20">
        <f>$J$667*Inputs!$I$185</f>
      </c>
    </row>
    <row r="671" spans="2:10" x14ac:dyDescent="0.25">
      <c r="B671" s="9" t="s">
        <v>1579</v>
      </c>
      <c r="C671" s="2" t="s">
        <v>14</v>
      </c>
      <c r="D671" s="34">
        <f>$D$668-$D$669+$D$670</f>
      </c>
      <c r="E671" s="34">
        <f>$E$668-$E$669+$E$670</f>
      </c>
      <c r="F671" s="34">
        <f>$F$668-$F$669+$F$670</f>
      </c>
      <c r="G671" s="34">
        <f>$G$668-$G$669+$G$670</f>
      </c>
      <c r="H671" s="34">
        <f>$H$668-$H$669+$H$670</f>
      </c>
      <c r="I671" s="34">
        <f>$I$668-$I$669+$I$670</f>
      </c>
      <c r="J671" s="34">
        <f>$J$668-$J$669+$J$670</f>
      </c>
    </row>
    <row r="672" spans="2:10" x14ac:dyDescent="0.25">
      <c r="B672" s="2" t="s">
        <v>1580</v>
      </c>
      <c r="C672" s="2" t="s">
        <v>14</v>
      </c>
      <c r="E672" s="20">
        <f>Inputs!$E$57</f>
      </c>
      <c r="F672" s="20">
        <f>$E$677</f>
      </c>
      <c r="G672" s="20">
        <f>$F$677</f>
      </c>
      <c r="H672" s="20">
        <f>$G$677</f>
      </c>
      <c r="I672" s="20">
        <f>$H$677</f>
      </c>
      <c r="J672" s="20">
        <f>$I$677</f>
      </c>
    </row>
    <row r="673" spans="2:10" x14ac:dyDescent="0.25">
      <c r="B673" s="2" t="s">
        <v>1581</v>
      </c>
      <c r="C673" s="2" t="s">
        <v>14</v>
      </c>
      <c r="D673" s="20">
        <f>Inputs!$E$51</f>
      </c>
      <c r="E673" s="20">
        <f>IF(Inputs!$D$180="ppe_rollforward",Inputs!$D$187*$E$672,$E$667*Inputs!$D$186)</f>
      </c>
      <c r="F673" s="20">
        <f>IF(Inputs!$D$180="ppe_rollforward",Inputs!$E$187*$F$672,$F$667*Inputs!$E$186)</f>
      </c>
      <c r="G673" s="20">
        <f>IF(Inputs!$D$180="ppe_rollforward",Inputs!$F$187*$G$672,$G$667*Inputs!$F$186)</f>
      </c>
      <c r="H673" s="20">
        <f>IF(Inputs!$D$180="ppe_rollforward",Inputs!$G$187*$H$672,$H$667*Inputs!$G$186)</f>
      </c>
      <c r="I673" s="20">
        <f>IF(Inputs!$D$180="ppe_rollforward",Inputs!$H$187*$I$672,$I$667*Inputs!$H$186)</f>
      </c>
      <c r="J673" s="20">
        <f>IF(Inputs!$D$180="ppe_rollforward",Inputs!$I$187*$J$672,$J$667*Inputs!$I$186)</f>
      </c>
    </row>
    <row r="674" spans="2:10" x14ac:dyDescent="0.25">
      <c r="B674" s="2" t="s">
        <v>1582</v>
      </c>
      <c r="C674" s="2" t="s">
        <v>14</v>
      </c>
      <c r="D674" s="20">
        <f>Inputs!$E$52</f>
      </c>
      <c r="E674" s="20">
        <f>IF(Inputs!$D$180="ppe_rollforward",$E$667*Inputs!$D$188,0)</f>
      </c>
      <c r="F674" s="20">
        <f>IF(Inputs!$D$180="ppe_rollforward",$F$667*Inputs!$E$188,0)</f>
      </c>
      <c r="G674" s="20">
        <f>IF(Inputs!$D$180="ppe_rollforward",$G$667*Inputs!$F$188,0)</f>
      </c>
      <c r="H674" s="20">
        <f>IF(Inputs!$D$180="ppe_rollforward",$H$667*Inputs!$G$188,0)</f>
      </c>
      <c r="I674" s="20">
        <f>IF(Inputs!$D$180="ppe_rollforward",$I$667*Inputs!$H$188,0)</f>
      </c>
      <c r="J674" s="20">
        <f>IF(Inputs!$D$180="ppe_rollforward",$J$667*Inputs!$I$188,0)</f>
      </c>
    </row>
    <row r="675" spans="2:10" x14ac:dyDescent="0.25">
      <c r="B675" s="2" t="s">
        <v>1583</v>
      </c>
      <c r="C675" s="2" t="s">
        <v>14</v>
      </c>
      <c r="D675" s="20">
        <f>$D$673+$D$674</f>
      </c>
      <c r="E675" s="20">
        <f>$E$673+$E$674</f>
      </c>
      <c r="F675" s="20">
        <f>$F$673+$F$674</f>
      </c>
      <c r="G675" s="20">
        <f>$G$673+$G$674</f>
      </c>
      <c r="H675" s="20">
        <f>$H$673+$H$674</f>
      </c>
      <c r="I675" s="20">
        <f>$I$673+$I$674</f>
      </c>
      <c r="J675" s="20">
        <f>$J$673+$J$674</f>
      </c>
    </row>
    <row r="676" spans="2:10" x14ac:dyDescent="0.25">
      <c r="B676" s="2" t="s">
        <v>1584</v>
      </c>
      <c r="C676" s="2" t="s">
        <v>14</v>
      </c>
      <c r="D676" s="20">
        <f>-Inputs!$E$111</f>
      </c>
      <c r="E676" s="20">
        <f>IF(Inputs!$D$181="absolute",Inputs!$D$190,$E$667*Inputs!$D$189)</f>
      </c>
      <c r="F676" s="20">
        <f>IF(Inputs!$D$181="absolute",Inputs!$E$190,$F$667*Inputs!$E$189)</f>
      </c>
      <c r="G676" s="20">
        <f>IF(Inputs!$D$181="absolute",Inputs!$F$190,$G$667*Inputs!$F$189)</f>
      </c>
      <c r="H676" s="20">
        <f>IF(Inputs!$D$181="absolute",Inputs!$G$190,$H$667*Inputs!$G$189)</f>
      </c>
      <c r="I676" s="20">
        <f>IF(Inputs!$D$181="absolute",Inputs!$H$190,$I$667*Inputs!$H$189)</f>
      </c>
      <c r="J676" s="20">
        <f>$J$667*Inputs!$I$189</f>
      </c>
    </row>
    <row r="677" spans="2:10" x14ac:dyDescent="0.25">
      <c r="B677" s="2" t="s">
        <v>1585</v>
      </c>
      <c r="C677" s="2" t="s">
        <v>14</v>
      </c>
      <c r="D677" s="20">
        <f>Inputs!$E$57</f>
      </c>
      <c r="E677" s="20">
        <f>$E$672+$E$676-$E$673</f>
      </c>
      <c r="F677" s="20">
        <f>$F$672+$F$676-$F$673</f>
      </c>
      <c r="G677" s="20">
        <f>$G$672+$G$676-$G$673</f>
      </c>
      <c r="H677" s="20">
        <f>$H$672+$H$676-$H$673</f>
      </c>
      <c r="I677" s="20">
        <f>$I$672+$I$676-$I$673</f>
      </c>
      <c r="J677" s="20">
        <f>$J$672+$J$676-$J$673</f>
      </c>
    </row>
    <row r="678" spans="2:10" x14ac:dyDescent="0.25">
      <c r="B678" s="9" t="s">
        <v>1586</v>
      </c>
      <c r="C678" s="2" t="s">
        <v>14</v>
      </c>
      <c r="D678" s="35">
        <f>$D$671-$D$675</f>
      </c>
      <c r="E678" s="35">
        <f>$E$671-$E$675</f>
      </c>
      <c r="F678" s="35">
        <f>$F$671-$F$675</f>
      </c>
      <c r="G678" s="35">
        <f>$G$671-$G$675</f>
      </c>
      <c r="H678" s="35">
        <f>$H$671-$H$675</f>
      </c>
      <c r="I678" s="35">
        <f>$I$671-$I$675</f>
      </c>
      <c r="J678" s="35">
        <f>$J$671-$J$675</f>
      </c>
    </row>
    <row r="679" spans="2:10" x14ac:dyDescent="0.25">
      <c r="B679" s="2" t="s">
        <v>1587</v>
      </c>
      <c r="C679" s="2" t="s">
        <v>54</v>
      </c>
      <c r="D679" s="11">
        <f>Inputs!$D$133</f>
      </c>
      <c r="E679" s="11">
        <f>Inputs!$D$196</f>
      </c>
      <c r="F679" s="11">
        <f>Inputs!$E$196</f>
      </c>
      <c r="G679" s="11">
        <f>Inputs!$F$196</f>
      </c>
      <c r="H679" s="11">
        <f>Inputs!$G$196</f>
      </c>
      <c r="I679" s="11">
        <f>Inputs!$H$196</f>
      </c>
      <c r="J679" s="11">
        <f>Inputs!$I$196</f>
      </c>
    </row>
    <row r="680" spans="2:10" x14ac:dyDescent="0.25">
      <c r="B680" s="2" t="s">
        <v>1588</v>
      </c>
      <c r="C680" s="2" t="s">
        <v>14</v>
      </c>
      <c r="D680" s="20">
        <f>$D$678*$D$679</f>
      </c>
      <c r="E680" s="20">
        <f>$E$678*$E$679</f>
      </c>
      <c r="F680" s="20">
        <f>$F$678*$F$679</f>
      </c>
      <c r="G680" s="20">
        <f>$G$678*$G$679</f>
      </c>
      <c r="H680" s="20">
        <f>$H$678*$H$679</f>
      </c>
      <c r="I680" s="20">
        <f>$I$678*$I$679</f>
      </c>
      <c r="J680" s="20">
        <f>$J$678*$J$679</f>
      </c>
    </row>
    <row r="681" spans="2:10" x14ac:dyDescent="0.25">
      <c r="B681" s="2" t="s">
        <v>1589</v>
      </c>
      <c r="C681" s="2" t="s">
        <v>14</v>
      </c>
      <c r="D681" s="33">
        <f>$D$678-$D$680</f>
      </c>
      <c r="E681" s="33">
        <f>$E$678-$E$680</f>
      </c>
      <c r="F681" s="33">
        <f>$F$678-$F$680</f>
      </c>
      <c r="G681" s="33">
        <f>$G$678-$G$680</f>
      </c>
      <c r="H681" s="33">
        <f>$H$678-$H$680</f>
      </c>
      <c r="I681" s="33">
        <f>$I$678-$I$680</f>
      </c>
      <c r="J681" s="33">
        <f>$J$678-$J$680</f>
      </c>
    </row>
    <row r="682" spans="2:10" x14ac:dyDescent="0.25">
      <c r="B682" s="2" t="s">
        <v>1590</v>
      </c>
      <c r="C682" s="2" t="s">
        <v>14</v>
      </c>
      <c r="D682" s="20">
        <f>$D$667*(1-((Inputs!$E$26+Inputs!$E$51+Inputs!$E$52)/$D$667))</f>
      </c>
      <c r="E682" s="20">
        <f>$E$667*(1-(Inputs!$D$183+$E$666))</f>
      </c>
      <c r="F682" s="20">
        <f>$F$667*(1-(Inputs!$E$183+$E$666))</f>
      </c>
      <c r="G682" s="20">
        <f>$G$667*(1-(Inputs!$F$183+$E$666))</f>
      </c>
      <c r="H682" s="20">
        <f>$H$667*(1-(Inputs!$G$183+$E$666))</f>
      </c>
      <c r="I682" s="20">
        <f>$I$667*(1-(Inputs!$H$183+$E$666))</f>
      </c>
      <c r="J682" s="20">
        <f>$J$667*(1-(Inputs!$I$183+$E$666))</f>
      </c>
    </row>
    <row r="683" spans="2:10" x14ac:dyDescent="0.25">
      <c r="B683" s="2" t="s">
        <v>1591</v>
      </c>
      <c r="C683" s="2" t="s">
        <v>14</v>
      </c>
      <c r="D683" s="20">
        <f>Inputs!$E$67</f>
      </c>
      <c r="E683" s="20">
        <f>$E$667*Inputs!$D$191/Inputs!$D$18</f>
      </c>
      <c r="F683" s="20">
        <f>$F$667*Inputs!$E$191/Inputs!$D$18</f>
      </c>
      <c r="G683" s="20">
        <f>$G$667*Inputs!$F$191/Inputs!$D$18</f>
      </c>
      <c r="H683" s="20">
        <f>$H$667*Inputs!$G$191/Inputs!$D$18</f>
      </c>
      <c r="I683" s="20">
        <f>$I$667*Inputs!$H$191/Inputs!$D$18</f>
      </c>
      <c r="J683" s="20">
        <f>$J$667*Inputs!$I$191/Inputs!$D$18</f>
      </c>
    </row>
    <row r="684" spans="2:10" x14ac:dyDescent="0.25">
      <c r="B684" s="2" t="s">
        <v>1592</v>
      </c>
      <c r="C684" s="2" t="s">
        <v>14</v>
      </c>
      <c r="D684" s="20">
        <f>Inputs!$E$66</f>
      </c>
      <c r="E684" s="20">
        <f>$E$682*Inputs!$D$192/Inputs!$D$18</f>
      </c>
      <c r="F684" s="20">
        <f>$F$682*Inputs!$E$192/Inputs!$D$18</f>
      </c>
      <c r="G684" s="20">
        <f>$G$682*Inputs!$F$192/Inputs!$D$18</f>
      </c>
      <c r="H684" s="20">
        <f>$H$682*Inputs!$G$192/Inputs!$D$18</f>
      </c>
      <c r="I684" s="20">
        <f>$I$682*Inputs!$H$192/Inputs!$D$18</f>
      </c>
      <c r="J684" s="20">
        <f>$J$682*Inputs!$I$192/Inputs!$D$18</f>
      </c>
    </row>
    <row r="685" spans="2:10" x14ac:dyDescent="0.25">
      <c r="B685" s="2" t="s">
        <v>1593</v>
      </c>
      <c r="C685" s="2" t="s">
        <v>14</v>
      </c>
      <c r="D685" s="20">
        <f>Inputs!$E$93</f>
      </c>
      <c r="E685" s="20">
        <f>$E$682*Inputs!$D$193/Inputs!$D$18</f>
      </c>
      <c r="F685" s="20">
        <f>$F$682*Inputs!$E$193/Inputs!$D$18</f>
      </c>
      <c r="G685" s="20">
        <f>$G$682*Inputs!$F$193/Inputs!$D$18</f>
      </c>
      <c r="H685" s="20">
        <f>$H$682*Inputs!$G$193/Inputs!$D$18</f>
      </c>
      <c r="I685" s="20">
        <f>$I$682*Inputs!$H$193/Inputs!$D$18</f>
      </c>
      <c r="J685" s="20">
        <f>$J$682*Inputs!$I$193/Inputs!$D$18</f>
      </c>
    </row>
    <row r="686" spans="2:10" x14ac:dyDescent="0.25">
      <c r="B686" s="2" t="s">
        <v>1594</v>
      </c>
      <c r="C686" s="2" t="s">
        <v>14</v>
      </c>
      <c r="D686" s="20">
        <f>Inputs!$E$70+Inputs!$E$72+Inputs!$E$71</f>
      </c>
      <c r="E686" s="20">
        <f>$E$667*Inputs!$D$194</f>
      </c>
      <c r="F686" s="20">
        <f>$F$667*Inputs!$E$194</f>
      </c>
      <c r="G686" s="20">
        <f>$G$667*Inputs!$F$194</f>
      </c>
      <c r="H686" s="20">
        <f>$H$667*Inputs!$G$194</f>
      </c>
      <c r="I686" s="20">
        <f>$I$667*Inputs!$H$194</f>
      </c>
      <c r="J686" s="20">
        <f>$J$667*Inputs!$I$194</f>
      </c>
    </row>
    <row r="687" spans="2:10" x14ac:dyDescent="0.25">
      <c r="B687" s="2" t="s">
        <v>1595</v>
      </c>
      <c r="C687" s="2" t="s">
        <v>14</v>
      </c>
      <c r="D687" s="20">
        <f>Inputs!$E$94+Inputs!$E$95+Inputs!$E$97+Inputs!$E$98+Inputs!$E$99</f>
      </c>
      <c r="E687" s="20">
        <f>$E$667*Inputs!$D$195</f>
      </c>
      <c r="F687" s="20">
        <f>$F$667*Inputs!$E$195</f>
      </c>
      <c r="G687" s="20">
        <f>$G$667*Inputs!$F$195</f>
      </c>
      <c r="H687" s="20">
        <f>$H$667*Inputs!$G$195</f>
      </c>
      <c r="I687" s="20">
        <f>$I$667*Inputs!$H$195</f>
      </c>
      <c r="J687" s="20">
        <f>$J$667*Inputs!$I$195</f>
      </c>
    </row>
    <row r="688" spans="2:10" x14ac:dyDescent="0.25">
      <c r="B688" s="2" t="s">
        <v>1596</v>
      </c>
      <c r="C688" s="2" t="s">
        <v>14</v>
      </c>
      <c r="D688" s="33">
        <f>$D$683+$D$684+$D$686-$D$685-$D$687</f>
      </c>
      <c r="E688" s="33">
        <f>$E$683+$E$684+$E$686-$E$685-$E$687</f>
      </c>
      <c r="F688" s="33">
        <f>$F$683+$F$684+$F$686-$F$685-$F$687</f>
      </c>
      <c r="G688" s="33">
        <f>$G$683+$G$684+$G$686-$G$685-$G$687</f>
      </c>
      <c r="H688" s="33">
        <f>$H$683+$H$684+$H$686-$H$685-$H$687</f>
      </c>
      <c r="I688" s="33">
        <f>$I$683+$I$684+$I$686-$I$685-$I$687</f>
      </c>
      <c r="J688" s="33">
        <f>$J$683+$J$684+$J$686-$J$685-$J$687</f>
      </c>
    </row>
    <row r="689" spans="2:10" x14ac:dyDescent="0.25">
      <c r="B689" s="2" t="s">
        <v>1597</v>
      </c>
      <c r="C689" s="2" t="s">
        <v>14</v>
      </c>
      <c r="E689" s="20">
        <f>$E$688-$D$688</f>
      </c>
      <c r="F689" s="20">
        <f>$F$688-$E$688</f>
      </c>
      <c r="G689" s="20">
        <f>$G$688-$F$688</f>
      </c>
      <c r="H689" s="20">
        <f>$H$688-$G$688</f>
      </c>
      <c r="I689" s="20">
        <f>$I$688-$H$688</f>
      </c>
      <c r="J689" s="20">
        <f>$J$688-$I$688</f>
      </c>
    </row>
    <row r="690" spans="2:10" x14ac:dyDescent="0.25">
      <c r="B690" s="2" t="s">
        <v>1598</v>
      </c>
      <c r="C690" s="2" t="s">
        <v>14</v>
      </c>
      <c r="D690" s="20">
        <f>Inputs!$E$49</f>
      </c>
      <c r="E690" s="20">
        <f>$E$681+Inputs!$D$202*(1-$E$679)</f>
      </c>
      <c r="F690" s="20">
        <f>$F$681+Inputs!$D$202*(1-$F$679)</f>
      </c>
      <c r="G690" s="20">
        <f>$G$681+Inputs!$D$202*(1-$G$679)</f>
      </c>
      <c r="H690" s="20">
        <f>$H$681+Inputs!$D$202*(1-$H$679)</f>
      </c>
      <c r="I690" s="20">
        <f>$I$681+Inputs!$D$202*(1-$I$679)</f>
      </c>
      <c r="J690" s="20">
        <f>$J$681+Inputs!$D$202*(1-$J$679)</f>
      </c>
    </row>
    <row r="691" spans="2:10" x14ac:dyDescent="0.25">
      <c r="B691" s="2" t="s">
        <v>1599</v>
      </c>
      <c r="C691" s="2" t="s">
        <v>14</v>
      </c>
      <c r="E691" s="20">
        <f>IF(Inputs!$D$200=1,Inputs!$D$201*$D$690,0)</f>
      </c>
      <c r="F691" s="20">
        <f>IF(Inputs!$D$200=1,Inputs!$D$201*$E$690,0)</f>
      </c>
      <c r="G691" s="20">
        <f>IF(Inputs!$D$200=1,Inputs!$D$201*$F$690,0)</f>
      </c>
      <c r="H691" s="20">
        <f>IF(Inputs!$D$200=1,Inputs!$D$201*$G$690,0)</f>
      </c>
      <c r="I691" s="20">
        <f>IF(Inputs!$D$200=1,Inputs!$D$201*$H$690,0)</f>
      </c>
      <c r="J691" s="20">
        <f>IF(Inputs!$D$200=1,Inputs!$D$201*$I$690,0)</f>
      </c>
    </row>
    <row r="692" spans="2:10" x14ac:dyDescent="0.25">
      <c r="B692" s="9" t="s">
        <v>1600</v>
      </c>
      <c r="C692" s="2" t="s">
        <v>14</v>
      </c>
      <c r="E692" s="34">
        <f>$E$681+$E$675-$E$676-$E$689-$E$691</f>
      </c>
      <c r="F692" s="34">
        <f>$F$681+$F$675-$F$676-$F$689-$F$691</f>
      </c>
      <c r="G692" s="34">
        <f>$G$681+$G$675-$G$676-$G$689-$G$691</f>
      </c>
      <c r="H692" s="34">
        <f>$H$681+$H$675-$H$676-$H$689-$H$691</f>
      </c>
      <c r="I692" s="34">
        <f>$I$681+$I$675-$I$676-$I$689-$I$691</f>
      </c>
      <c r="J692" s="34">
        <f>$J$681+$J$675-$J$676-$J$689-$J$691</f>
      </c>
    </row>
    <row r="693" spans="2:9" x14ac:dyDescent="0.25">
      <c r="B693" s="2" t="s">
        <v>1601</v>
      </c>
      <c r="C693" s="2" t="s">
        <v>14</v>
      </c>
      <c r="E693" s="20">
        <f>$E$692*DCF!$D$10*(1+WACC!$D$54)^(-DCF!$D$12)</f>
      </c>
      <c r="F693" s="20">
        <f>$F$692*DCF!$E$10*(1+WACC!$D$54)^(-DCF!$E$12)</f>
      </c>
      <c r="G693" s="20">
        <f>$G$692*DCF!$F$10*(1+WACC!$D$54)^(-DCF!$F$12)</f>
      </c>
      <c r="H693" s="20">
        <f>$H$692*DCF!$G$10*(1+WACC!$D$54)^(-DCF!$G$12)</f>
      </c>
      <c r="I693" s="20">
        <f>$I$692*DCF!$H$10*(1+WACC!$D$54)^(-DCF!$H$12)</f>
      </c>
    </row>
    <row r="694" spans="2:4" x14ac:dyDescent="0.25">
      <c r="B694" s="2" t="s">
        <v>1602</v>
      </c>
      <c r="C694" s="2" t="s">
        <v>14</v>
      </c>
      <c r="D694" s="20">
        <f>SUM($E$693:$I$693)</f>
      </c>
    </row>
    <row r="695" spans="2:4" x14ac:dyDescent="0.25">
      <c r="B695" s="2" t="s">
        <v>1603</v>
      </c>
      <c r="C695" s="2" t="s">
        <v>14</v>
      </c>
      <c r="D695" s="20">
        <f>IF(Inputs!$D$171="gordon",IF(Inputs!$D$172&lt;WACC!$D$54,$J$692/(WACC!$D$54-Inputs!$D$172),"n/a"),$I$671*Inputs!$D$173)</f>
      </c>
    </row>
    <row r="696" spans="2:4" x14ac:dyDescent="0.25">
      <c r="B696" s="2" t="s">
        <v>1604</v>
      </c>
      <c r="C696" s="2" t="s">
        <v>14</v>
      </c>
      <c r="D696" s="33">
        <f>IFERROR($D$694+$D$695*(1+WACC!$D$54)^(-DCF!$D$21),"n/a")</f>
      </c>
    </row>
    <row r="697" spans="2:4" x14ac:dyDescent="0.25">
      <c r="B697" s="2" t="s">
        <v>1605</v>
      </c>
      <c r="C697" s="2" t="s">
        <v>14</v>
      </c>
      <c r="D697" s="20">
        <f>IFERROR($D$696+DCF!$D$51,"n/a")</f>
      </c>
    </row>
    <row r="698" spans="2:4" x14ac:dyDescent="0.25">
      <c r="B698" s="9" t="s">
        <v>1606</v>
      </c>
      <c r="C698" s="2" t="s">
        <v>14</v>
      </c>
      <c r="D698" s="40">
        <f>IFERROR($D$697/Inputs!$D$15,"n/a")</f>
      </c>
    </row>
    <row r="700" spans="2:5" x14ac:dyDescent="0.25">
      <c r="B700" s="2" t="s">
        <v>1607</v>
      </c>
      <c r="C700" s="2" t="s">
        <v>326</v>
      </c>
      <c r="D700" s="15">
        <f>Inputs!$G$237*Inputs!$D$233</f>
      </c>
      <c r="E700" s="15">
        <f>Inputs!$H$237*Inputs!$D$234</f>
      </c>
    </row>
    <row r="701" spans="2:10" x14ac:dyDescent="0.25">
      <c r="B701" s="9" t="s">
        <v>1608</v>
      </c>
      <c r="C701" s="2" t="s">
        <v>14</v>
      </c>
      <c r="D701" s="35">
        <f>Inputs!$E$23</f>
      </c>
      <c r="E701" s="35">
        <f>$D$701*(1+(Inputs!$D$182+$D$700))</f>
      </c>
      <c r="F701" s="35">
        <f>$E$701*(1+(Inputs!$E$182+$D$700))</f>
      </c>
      <c r="G701" s="35">
        <f>$F$701*(1+(Inputs!$F$182+$D$700))</f>
      </c>
      <c r="H701" s="35">
        <f>$G$701*(1+(Inputs!$G$182+$D$700))</f>
      </c>
      <c r="I701" s="35">
        <f>$H$701*(1+(Inputs!$H$182+$D$700))</f>
      </c>
      <c r="J701" s="35">
        <f>$I$701*(1+Inputs!$D$172)</f>
      </c>
    </row>
    <row r="702" spans="2:10" x14ac:dyDescent="0.25">
      <c r="B702" s="2" t="s">
        <v>1609</v>
      </c>
      <c r="C702" s="2" t="s">
        <v>14</v>
      </c>
      <c r="D702" s="20">
        <f>$D$701*((Inputs!$E$26+Inputs!$E$51+Inputs!$E$52)/$D$701)</f>
      </c>
      <c r="E702" s="20">
        <f>$E$701*(Inputs!$D$183+$E$700)</f>
      </c>
      <c r="F702" s="20">
        <f>$F$701*(Inputs!$E$183+$E$700)</f>
      </c>
      <c r="G702" s="20">
        <f>$G$701*(Inputs!$F$183+$E$700)</f>
      </c>
      <c r="H702" s="20">
        <f>$H$701*(Inputs!$G$183+$E$700)</f>
      </c>
      <c r="I702" s="20">
        <f>$I$701*(Inputs!$H$183+$E$700)</f>
      </c>
      <c r="J702" s="20">
        <f>$J$701*(Inputs!$I$183+$E$700)</f>
      </c>
    </row>
    <row r="703" spans="2:10" x14ac:dyDescent="0.25">
      <c r="B703" s="2" t="s">
        <v>1610</v>
      </c>
      <c r="C703" s="2" t="s">
        <v>14</v>
      </c>
      <c r="D703" s="20">
        <f>-(Inputs!$E$29+Inputs!$E$30)</f>
      </c>
      <c r="E703" s="20">
        <f>$E$701*Inputs!$D$184</f>
      </c>
      <c r="F703" s="20">
        <f>$F$701*Inputs!$E$184</f>
      </c>
      <c r="G703" s="20">
        <f>$G$701*Inputs!$F$184</f>
      </c>
      <c r="H703" s="20">
        <f>$H$701*Inputs!$G$184</f>
      </c>
      <c r="I703" s="20">
        <f>$I$701*Inputs!$H$184</f>
      </c>
      <c r="J703" s="20">
        <f>$J$701*Inputs!$I$184</f>
      </c>
    </row>
    <row r="704" spans="2:10" x14ac:dyDescent="0.25">
      <c r="B704" s="2" t="s">
        <v>1611</v>
      </c>
      <c r="C704" s="2" t="s">
        <v>14</v>
      </c>
      <c r="D704" s="20">
        <f>Normalization!$D$13-Inputs!$E$26-Inputs!$E$29-Inputs!$E$30</f>
      </c>
      <c r="E704" s="20">
        <f>$E$701*Inputs!$D$185</f>
      </c>
      <c r="F704" s="20">
        <f>$F$701*Inputs!$E$185</f>
      </c>
      <c r="G704" s="20">
        <f>$G$701*Inputs!$F$185</f>
      </c>
      <c r="H704" s="20">
        <f>$H$701*Inputs!$G$185</f>
      </c>
      <c r="I704" s="20">
        <f>$I$701*Inputs!$H$185</f>
      </c>
      <c r="J704" s="20">
        <f>$J$701*Inputs!$I$185</f>
      </c>
    </row>
    <row r="705" spans="2:10" x14ac:dyDescent="0.25">
      <c r="B705" s="9" t="s">
        <v>1612</v>
      </c>
      <c r="C705" s="2" t="s">
        <v>14</v>
      </c>
      <c r="D705" s="34">
        <f>$D$702-$D$703+$D$704</f>
      </c>
      <c r="E705" s="34">
        <f>$E$702-$E$703+$E$704</f>
      </c>
      <c r="F705" s="34">
        <f>$F$702-$F$703+$F$704</f>
      </c>
      <c r="G705" s="34">
        <f>$G$702-$G$703+$G$704</f>
      </c>
      <c r="H705" s="34">
        <f>$H$702-$H$703+$H$704</f>
      </c>
      <c r="I705" s="34">
        <f>$I$702-$I$703+$I$704</f>
      </c>
      <c r="J705" s="34">
        <f>$J$702-$J$703+$J$704</f>
      </c>
    </row>
    <row r="706" spans="2:10" x14ac:dyDescent="0.25">
      <c r="B706" s="2" t="s">
        <v>1613</v>
      </c>
      <c r="C706" s="2" t="s">
        <v>14</v>
      </c>
      <c r="E706" s="20">
        <f>Inputs!$E$57</f>
      </c>
      <c r="F706" s="20">
        <f>$E$711</f>
      </c>
      <c r="G706" s="20">
        <f>$F$711</f>
      </c>
      <c r="H706" s="20">
        <f>$G$711</f>
      </c>
      <c r="I706" s="20">
        <f>$H$711</f>
      </c>
      <c r="J706" s="20">
        <f>$I$711</f>
      </c>
    </row>
    <row r="707" spans="2:10" x14ac:dyDescent="0.25">
      <c r="B707" s="2" t="s">
        <v>1614</v>
      </c>
      <c r="C707" s="2" t="s">
        <v>14</v>
      </c>
      <c r="D707" s="20">
        <f>Inputs!$E$51</f>
      </c>
      <c r="E707" s="20">
        <f>IF(Inputs!$D$180="ppe_rollforward",Inputs!$D$187*$E$706,$E$701*Inputs!$D$186)</f>
      </c>
      <c r="F707" s="20">
        <f>IF(Inputs!$D$180="ppe_rollforward",Inputs!$E$187*$F$706,$F$701*Inputs!$E$186)</f>
      </c>
      <c r="G707" s="20">
        <f>IF(Inputs!$D$180="ppe_rollforward",Inputs!$F$187*$G$706,$G$701*Inputs!$F$186)</f>
      </c>
      <c r="H707" s="20">
        <f>IF(Inputs!$D$180="ppe_rollforward",Inputs!$G$187*$H$706,$H$701*Inputs!$G$186)</f>
      </c>
      <c r="I707" s="20">
        <f>IF(Inputs!$D$180="ppe_rollforward",Inputs!$H$187*$I$706,$I$701*Inputs!$H$186)</f>
      </c>
      <c r="J707" s="20">
        <f>IF(Inputs!$D$180="ppe_rollforward",Inputs!$I$187*$J$706,$J$701*Inputs!$I$186)</f>
      </c>
    </row>
    <row r="708" spans="2:10" x14ac:dyDescent="0.25">
      <c r="B708" s="2" t="s">
        <v>1615</v>
      </c>
      <c r="C708" s="2" t="s">
        <v>14</v>
      </c>
      <c r="D708" s="20">
        <f>Inputs!$E$52</f>
      </c>
      <c r="E708" s="20">
        <f>IF(Inputs!$D$180="ppe_rollforward",$E$701*Inputs!$D$188,0)</f>
      </c>
      <c r="F708" s="20">
        <f>IF(Inputs!$D$180="ppe_rollforward",$F$701*Inputs!$E$188,0)</f>
      </c>
      <c r="G708" s="20">
        <f>IF(Inputs!$D$180="ppe_rollforward",$G$701*Inputs!$F$188,0)</f>
      </c>
      <c r="H708" s="20">
        <f>IF(Inputs!$D$180="ppe_rollforward",$H$701*Inputs!$G$188,0)</f>
      </c>
      <c r="I708" s="20">
        <f>IF(Inputs!$D$180="ppe_rollforward",$I$701*Inputs!$H$188,0)</f>
      </c>
      <c r="J708" s="20">
        <f>IF(Inputs!$D$180="ppe_rollforward",$J$701*Inputs!$I$188,0)</f>
      </c>
    </row>
    <row r="709" spans="2:10" x14ac:dyDescent="0.25">
      <c r="B709" s="2" t="s">
        <v>1616</v>
      </c>
      <c r="C709" s="2" t="s">
        <v>14</v>
      </c>
      <c r="D709" s="20">
        <f>$D$707+$D$708</f>
      </c>
      <c r="E709" s="20">
        <f>$E$707+$E$708</f>
      </c>
      <c r="F709" s="20">
        <f>$F$707+$F$708</f>
      </c>
      <c r="G709" s="20">
        <f>$G$707+$G$708</f>
      </c>
      <c r="H709" s="20">
        <f>$H$707+$H$708</f>
      </c>
      <c r="I709" s="20">
        <f>$I$707+$I$708</f>
      </c>
      <c r="J709" s="20">
        <f>$J$707+$J$708</f>
      </c>
    </row>
    <row r="710" spans="2:10" x14ac:dyDescent="0.25">
      <c r="B710" s="2" t="s">
        <v>1617</v>
      </c>
      <c r="C710" s="2" t="s">
        <v>14</v>
      </c>
      <c r="D710" s="20">
        <f>-Inputs!$E$111</f>
      </c>
      <c r="E710" s="20">
        <f>IF(Inputs!$D$181="absolute",Inputs!$D$190,$E$701*Inputs!$D$189)</f>
      </c>
      <c r="F710" s="20">
        <f>IF(Inputs!$D$181="absolute",Inputs!$E$190,$F$701*Inputs!$E$189)</f>
      </c>
      <c r="G710" s="20">
        <f>IF(Inputs!$D$181="absolute",Inputs!$F$190,$G$701*Inputs!$F$189)</f>
      </c>
      <c r="H710" s="20">
        <f>IF(Inputs!$D$181="absolute",Inputs!$G$190,$H$701*Inputs!$G$189)</f>
      </c>
      <c r="I710" s="20">
        <f>IF(Inputs!$D$181="absolute",Inputs!$H$190,$I$701*Inputs!$H$189)</f>
      </c>
      <c r="J710" s="20">
        <f>$J$701*Inputs!$I$189</f>
      </c>
    </row>
    <row r="711" spans="2:10" x14ac:dyDescent="0.25">
      <c r="B711" s="2" t="s">
        <v>1618</v>
      </c>
      <c r="C711" s="2" t="s">
        <v>14</v>
      </c>
      <c r="D711" s="20">
        <f>Inputs!$E$57</f>
      </c>
      <c r="E711" s="20">
        <f>$E$706+$E$710-$E$707</f>
      </c>
      <c r="F711" s="20">
        <f>$F$706+$F$710-$F$707</f>
      </c>
      <c r="G711" s="20">
        <f>$G$706+$G$710-$G$707</f>
      </c>
      <c r="H711" s="20">
        <f>$H$706+$H$710-$H$707</f>
      </c>
      <c r="I711" s="20">
        <f>$I$706+$I$710-$I$707</f>
      </c>
      <c r="J711" s="20">
        <f>$J$706+$J$710-$J$707</f>
      </c>
    </row>
    <row r="712" spans="2:10" x14ac:dyDescent="0.25">
      <c r="B712" s="9" t="s">
        <v>1619</v>
      </c>
      <c r="C712" s="2" t="s">
        <v>14</v>
      </c>
      <c r="D712" s="35">
        <f>$D$705-$D$709</f>
      </c>
      <c r="E712" s="35">
        <f>$E$705-$E$709</f>
      </c>
      <c r="F712" s="35">
        <f>$F$705-$F$709</f>
      </c>
      <c r="G712" s="35">
        <f>$G$705-$G$709</f>
      </c>
      <c r="H712" s="35">
        <f>$H$705-$H$709</f>
      </c>
      <c r="I712" s="35">
        <f>$I$705-$I$709</f>
      </c>
      <c r="J712" s="35">
        <f>$J$705-$J$709</f>
      </c>
    </row>
    <row r="713" spans="2:10" x14ac:dyDescent="0.25">
      <c r="B713" s="2" t="s">
        <v>1620</v>
      </c>
      <c r="C713" s="2" t="s">
        <v>54</v>
      </c>
      <c r="D713" s="11">
        <f>Inputs!$D$133</f>
      </c>
      <c r="E713" s="11">
        <f>Inputs!$D$196</f>
      </c>
      <c r="F713" s="11">
        <f>Inputs!$E$196</f>
      </c>
      <c r="G713" s="11">
        <f>Inputs!$F$196</f>
      </c>
      <c r="H713" s="11">
        <f>Inputs!$G$196</f>
      </c>
      <c r="I713" s="11">
        <f>Inputs!$H$196</f>
      </c>
      <c r="J713" s="11">
        <f>Inputs!$I$196</f>
      </c>
    </row>
    <row r="714" spans="2:10" x14ac:dyDescent="0.25">
      <c r="B714" s="2" t="s">
        <v>1621</v>
      </c>
      <c r="C714" s="2" t="s">
        <v>14</v>
      </c>
      <c r="D714" s="20">
        <f>$D$712*$D$713</f>
      </c>
      <c r="E714" s="20">
        <f>$E$712*$E$713</f>
      </c>
      <c r="F714" s="20">
        <f>$F$712*$F$713</f>
      </c>
      <c r="G714" s="20">
        <f>$G$712*$G$713</f>
      </c>
      <c r="H714" s="20">
        <f>$H$712*$H$713</f>
      </c>
      <c r="I714" s="20">
        <f>$I$712*$I$713</f>
      </c>
      <c r="J714" s="20">
        <f>$J$712*$J$713</f>
      </c>
    </row>
    <row r="715" spans="2:10" x14ac:dyDescent="0.25">
      <c r="B715" s="2" t="s">
        <v>1622</v>
      </c>
      <c r="C715" s="2" t="s">
        <v>14</v>
      </c>
      <c r="D715" s="33">
        <f>$D$712-$D$714</f>
      </c>
      <c r="E715" s="33">
        <f>$E$712-$E$714</f>
      </c>
      <c r="F715" s="33">
        <f>$F$712-$F$714</f>
      </c>
      <c r="G715" s="33">
        <f>$G$712-$G$714</f>
      </c>
      <c r="H715" s="33">
        <f>$H$712-$H$714</f>
      </c>
      <c r="I715" s="33">
        <f>$I$712-$I$714</f>
      </c>
      <c r="J715" s="33">
        <f>$J$712-$J$714</f>
      </c>
    </row>
    <row r="716" spans="2:10" x14ac:dyDescent="0.25">
      <c r="B716" s="2" t="s">
        <v>1623</v>
      </c>
      <c r="C716" s="2" t="s">
        <v>14</v>
      </c>
      <c r="D716" s="20">
        <f>$D$701*(1-((Inputs!$E$26+Inputs!$E$51+Inputs!$E$52)/$D$701))</f>
      </c>
      <c r="E716" s="20">
        <f>$E$701*(1-(Inputs!$D$183+$E$700))</f>
      </c>
      <c r="F716" s="20">
        <f>$F$701*(1-(Inputs!$E$183+$E$700))</f>
      </c>
      <c r="G716" s="20">
        <f>$G$701*(1-(Inputs!$F$183+$E$700))</f>
      </c>
      <c r="H716" s="20">
        <f>$H$701*(1-(Inputs!$G$183+$E$700))</f>
      </c>
      <c r="I716" s="20">
        <f>$I$701*(1-(Inputs!$H$183+$E$700))</f>
      </c>
      <c r="J716" s="20">
        <f>$J$701*(1-(Inputs!$I$183+$E$700))</f>
      </c>
    </row>
    <row r="717" spans="2:10" x14ac:dyDescent="0.25">
      <c r="B717" s="2" t="s">
        <v>1624</v>
      </c>
      <c r="C717" s="2" t="s">
        <v>14</v>
      </c>
      <c r="D717" s="20">
        <f>Inputs!$E$67</f>
      </c>
      <c r="E717" s="20">
        <f>$E$701*Inputs!$D$191/Inputs!$D$18</f>
      </c>
      <c r="F717" s="20">
        <f>$F$701*Inputs!$E$191/Inputs!$D$18</f>
      </c>
      <c r="G717" s="20">
        <f>$G$701*Inputs!$F$191/Inputs!$D$18</f>
      </c>
      <c r="H717" s="20">
        <f>$H$701*Inputs!$G$191/Inputs!$D$18</f>
      </c>
      <c r="I717" s="20">
        <f>$I$701*Inputs!$H$191/Inputs!$D$18</f>
      </c>
      <c r="J717" s="20">
        <f>$J$701*Inputs!$I$191/Inputs!$D$18</f>
      </c>
    </row>
    <row r="718" spans="2:10" x14ac:dyDescent="0.25">
      <c r="B718" s="2" t="s">
        <v>1625</v>
      </c>
      <c r="C718" s="2" t="s">
        <v>14</v>
      </c>
      <c r="D718" s="20">
        <f>Inputs!$E$66</f>
      </c>
      <c r="E718" s="20">
        <f>$E$716*Inputs!$D$192/Inputs!$D$18</f>
      </c>
      <c r="F718" s="20">
        <f>$F$716*Inputs!$E$192/Inputs!$D$18</f>
      </c>
      <c r="G718" s="20">
        <f>$G$716*Inputs!$F$192/Inputs!$D$18</f>
      </c>
      <c r="H718" s="20">
        <f>$H$716*Inputs!$G$192/Inputs!$D$18</f>
      </c>
      <c r="I718" s="20">
        <f>$I$716*Inputs!$H$192/Inputs!$D$18</f>
      </c>
      <c r="J718" s="20">
        <f>$J$716*Inputs!$I$192/Inputs!$D$18</f>
      </c>
    </row>
    <row r="719" spans="2:10" x14ac:dyDescent="0.25">
      <c r="B719" s="2" t="s">
        <v>1626</v>
      </c>
      <c r="C719" s="2" t="s">
        <v>14</v>
      </c>
      <c r="D719" s="20">
        <f>Inputs!$E$93</f>
      </c>
      <c r="E719" s="20">
        <f>$E$716*Inputs!$D$193/Inputs!$D$18</f>
      </c>
      <c r="F719" s="20">
        <f>$F$716*Inputs!$E$193/Inputs!$D$18</f>
      </c>
      <c r="G719" s="20">
        <f>$G$716*Inputs!$F$193/Inputs!$D$18</f>
      </c>
      <c r="H719" s="20">
        <f>$H$716*Inputs!$G$193/Inputs!$D$18</f>
      </c>
      <c r="I719" s="20">
        <f>$I$716*Inputs!$H$193/Inputs!$D$18</f>
      </c>
      <c r="J719" s="20">
        <f>$J$716*Inputs!$I$193/Inputs!$D$18</f>
      </c>
    </row>
    <row r="720" spans="2:10" x14ac:dyDescent="0.25">
      <c r="B720" s="2" t="s">
        <v>1627</v>
      </c>
      <c r="C720" s="2" t="s">
        <v>14</v>
      </c>
      <c r="D720" s="20">
        <f>Inputs!$E$70+Inputs!$E$72+Inputs!$E$71</f>
      </c>
      <c r="E720" s="20">
        <f>$E$701*Inputs!$D$194</f>
      </c>
      <c r="F720" s="20">
        <f>$F$701*Inputs!$E$194</f>
      </c>
      <c r="G720" s="20">
        <f>$G$701*Inputs!$F$194</f>
      </c>
      <c r="H720" s="20">
        <f>$H$701*Inputs!$G$194</f>
      </c>
      <c r="I720" s="20">
        <f>$I$701*Inputs!$H$194</f>
      </c>
      <c r="J720" s="20">
        <f>$J$701*Inputs!$I$194</f>
      </c>
    </row>
    <row r="721" spans="2:10" x14ac:dyDescent="0.25">
      <c r="B721" s="2" t="s">
        <v>1628</v>
      </c>
      <c r="C721" s="2" t="s">
        <v>14</v>
      </c>
      <c r="D721" s="20">
        <f>Inputs!$E$94+Inputs!$E$95+Inputs!$E$97+Inputs!$E$98+Inputs!$E$99</f>
      </c>
      <c r="E721" s="20">
        <f>$E$701*Inputs!$D$195</f>
      </c>
      <c r="F721" s="20">
        <f>$F$701*Inputs!$E$195</f>
      </c>
      <c r="G721" s="20">
        <f>$G$701*Inputs!$F$195</f>
      </c>
      <c r="H721" s="20">
        <f>$H$701*Inputs!$G$195</f>
      </c>
      <c r="I721" s="20">
        <f>$I$701*Inputs!$H$195</f>
      </c>
      <c r="J721" s="20">
        <f>$J$701*Inputs!$I$195</f>
      </c>
    </row>
    <row r="722" spans="2:10" x14ac:dyDescent="0.25">
      <c r="B722" s="2" t="s">
        <v>1629</v>
      </c>
      <c r="C722" s="2" t="s">
        <v>14</v>
      </c>
      <c r="D722" s="33">
        <f>$D$717+$D$718+$D$720-$D$719-$D$721</f>
      </c>
      <c r="E722" s="33">
        <f>$E$717+$E$718+$E$720-$E$719-$E$721</f>
      </c>
      <c r="F722" s="33">
        <f>$F$717+$F$718+$F$720-$F$719-$F$721</f>
      </c>
      <c r="G722" s="33">
        <f>$G$717+$G$718+$G$720-$G$719-$G$721</f>
      </c>
      <c r="H722" s="33">
        <f>$H$717+$H$718+$H$720-$H$719-$H$721</f>
      </c>
      <c r="I722" s="33">
        <f>$I$717+$I$718+$I$720-$I$719-$I$721</f>
      </c>
      <c r="J722" s="33">
        <f>$J$717+$J$718+$J$720-$J$719-$J$721</f>
      </c>
    </row>
    <row r="723" spans="2:10" x14ac:dyDescent="0.25">
      <c r="B723" s="2" t="s">
        <v>1630</v>
      </c>
      <c r="C723" s="2" t="s">
        <v>14</v>
      </c>
      <c r="E723" s="20">
        <f>$E$722-$D$722</f>
      </c>
      <c r="F723" s="20">
        <f>$F$722-$E$722</f>
      </c>
      <c r="G723" s="20">
        <f>$G$722-$F$722</f>
      </c>
      <c r="H723" s="20">
        <f>$H$722-$G$722</f>
      </c>
      <c r="I723" s="20">
        <f>$I$722-$H$722</f>
      </c>
      <c r="J723" s="20">
        <f>$J$722-$I$722</f>
      </c>
    </row>
    <row r="724" spans="2:10" x14ac:dyDescent="0.25">
      <c r="B724" s="2" t="s">
        <v>1631</v>
      </c>
      <c r="C724" s="2" t="s">
        <v>14</v>
      </c>
      <c r="D724" s="20">
        <f>Inputs!$E$49</f>
      </c>
      <c r="E724" s="20">
        <f>$E$715+Inputs!$D$202*(1-$E$713)</f>
      </c>
      <c r="F724" s="20">
        <f>$F$715+Inputs!$D$202*(1-$F$713)</f>
      </c>
      <c r="G724" s="20">
        <f>$G$715+Inputs!$D$202*(1-$G$713)</f>
      </c>
      <c r="H724" s="20">
        <f>$H$715+Inputs!$D$202*(1-$H$713)</f>
      </c>
      <c r="I724" s="20">
        <f>$I$715+Inputs!$D$202*(1-$I$713)</f>
      </c>
      <c r="J724" s="20">
        <f>$J$715+Inputs!$D$202*(1-$J$713)</f>
      </c>
    </row>
    <row r="725" spans="2:10" x14ac:dyDescent="0.25">
      <c r="B725" s="2" t="s">
        <v>1632</v>
      </c>
      <c r="C725" s="2" t="s">
        <v>14</v>
      </c>
      <c r="E725" s="20">
        <f>IF(Inputs!$D$200=1,Inputs!$D$201*$D$724,0)</f>
      </c>
      <c r="F725" s="20">
        <f>IF(Inputs!$D$200=1,Inputs!$D$201*$E$724,0)</f>
      </c>
      <c r="G725" s="20">
        <f>IF(Inputs!$D$200=1,Inputs!$D$201*$F$724,0)</f>
      </c>
      <c r="H725" s="20">
        <f>IF(Inputs!$D$200=1,Inputs!$D$201*$G$724,0)</f>
      </c>
      <c r="I725" s="20">
        <f>IF(Inputs!$D$200=1,Inputs!$D$201*$H$724,0)</f>
      </c>
      <c r="J725" s="20">
        <f>IF(Inputs!$D$200=1,Inputs!$D$201*$I$724,0)</f>
      </c>
    </row>
    <row r="726" spans="2:10" x14ac:dyDescent="0.25">
      <c r="B726" s="9" t="s">
        <v>1633</v>
      </c>
      <c r="C726" s="2" t="s">
        <v>14</v>
      </c>
      <c r="E726" s="34">
        <f>$E$715+$E$709-$E$710-$E$723-$E$725</f>
      </c>
      <c r="F726" s="34">
        <f>$F$715+$F$709-$F$710-$F$723-$F$725</f>
      </c>
      <c r="G726" s="34">
        <f>$G$715+$G$709-$G$710-$G$723-$G$725</f>
      </c>
      <c r="H726" s="34">
        <f>$H$715+$H$709-$H$710-$H$723-$H$725</f>
      </c>
      <c r="I726" s="34">
        <f>$I$715+$I$709-$I$710-$I$723-$I$725</f>
      </c>
      <c r="J726" s="34">
        <f>$J$715+$J$709-$J$710-$J$723-$J$725</f>
      </c>
    </row>
    <row r="727" spans="2:9" x14ac:dyDescent="0.25">
      <c r="B727" s="2" t="s">
        <v>1634</v>
      </c>
      <c r="C727" s="2" t="s">
        <v>14</v>
      </c>
      <c r="E727" s="20">
        <f>$E$726*DCF!$D$10*(1+WACC!$D$54)^(-DCF!$D$12)</f>
      </c>
      <c r="F727" s="20">
        <f>$F$726*DCF!$E$10*(1+WACC!$D$54)^(-DCF!$E$12)</f>
      </c>
      <c r="G727" s="20">
        <f>$G$726*DCF!$F$10*(1+WACC!$D$54)^(-DCF!$F$12)</f>
      </c>
      <c r="H727" s="20">
        <f>$H$726*DCF!$G$10*(1+WACC!$D$54)^(-DCF!$G$12)</f>
      </c>
      <c r="I727" s="20">
        <f>$I$726*DCF!$H$10*(1+WACC!$D$54)^(-DCF!$H$12)</f>
      </c>
    </row>
    <row r="728" spans="2:4" x14ac:dyDescent="0.25">
      <c r="B728" s="2" t="s">
        <v>1635</v>
      </c>
      <c r="C728" s="2" t="s">
        <v>14</v>
      </c>
      <c r="D728" s="20">
        <f>SUM($E$727:$I$727)</f>
      </c>
    </row>
    <row r="729" spans="2:4" x14ac:dyDescent="0.25">
      <c r="B729" s="2" t="s">
        <v>1636</v>
      </c>
      <c r="C729" s="2" t="s">
        <v>14</v>
      </c>
      <c r="D729" s="20">
        <f>IF(Inputs!$D$171="gordon",IF(Inputs!$D$172&lt;WACC!$D$54,$J$726/(WACC!$D$54-Inputs!$D$172),"n/a"),$I$705*Inputs!$D$173)</f>
      </c>
    </row>
    <row r="730" spans="2:4" x14ac:dyDescent="0.25">
      <c r="B730" s="2" t="s">
        <v>1637</v>
      </c>
      <c r="C730" s="2" t="s">
        <v>14</v>
      </c>
      <c r="D730" s="33">
        <f>IFERROR($D$728+$D$729*(1+WACC!$D$54)^(-DCF!$D$21),"n/a")</f>
      </c>
    </row>
    <row r="731" spans="2:4" x14ac:dyDescent="0.25">
      <c r="B731" s="2" t="s">
        <v>1638</v>
      </c>
      <c r="C731" s="2" t="s">
        <v>14</v>
      </c>
      <c r="D731" s="20">
        <f>IFERROR($D$730+DCF!$D$51,"n/a")</f>
      </c>
    </row>
    <row r="732" spans="2:4" x14ac:dyDescent="0.25">
      <c r="B732" s="9" t="s">
        <v>1639</v>
      </c>
      <c r="C732" s="2" t="s">
        <v>14</v>
      </c>
      <c r="D732" s="40">
        <f>IFERROR($D$731/Inputs!$D$15,"n/a")</f>
      </c>
    </row>
    <row r="734" spans="2:5" x14ac:dyDescent="0.25">
      <c r="B734" s="2" t="s">
        <v>1640</v>
      </c>
      <c r="C734" s="2" t="s">
        <v>326</v>
      </c>
      <c r="D734" s="15">
        <f>Inputs!$H$237*Inputs!$D$233</f>
      </c>
      <c r="E734" s="15">
        <f>Inputs!$D$237*Inputs!$D$234</f>
      </c>
    </row>
    <row r="735" spans="2:10" x14ac:dyDescent="0.25">
      <c r="B735" s="9" t="s">
        <v>1641</v>
      </c>
      <c r="C735" s="2" t="s">
        <v>14</v>
      </c>
      <c r="D735" s="35">
        <f>Inputs!$E$23</f>
      </c>
      <c r="E735" s="35">
        <f>$D$735*(1+(Inputs!$D$182+$D$734))</f>
      </c>
      <c r="F735" s="35">
        <f>$E$735*(1+(Inputs!$E$182+$D$734))</f>
      </c>
      <c r="G735" s="35">
        <f>$F$735*(1+(Inputs!$F$182+$D$734))</f>
      </c>
      <c r="H735" s="35">
        <f>$G$735*(1+(Inputs!$G$182+$D$734))</f>
      </c>
      <c r="I735" s="35">
        <f>$H$735*(1+(Inputs!$H$182+$D$734))</f>
      </c>
      <c r="J735" s="35">
        <f>$I$735*(1+Inputs!$D$172)</f>
      </c>
    </row>
    <row r="736" spans="2:10" x14ac:dyDescent="0.25">
      <c r="B736" s="2" t="s">
        <v>1642</v>
      </c>
      <c r="C736" s="2" t="s">
        <v>14</v>
      </c>
      <c r="D736" s="20">
        <f>$D$735*((Inputs!$E$26+Inputs!$E$51+Inputs!$E$52)/$D$735)</f>
      </c>
      <c r="E736" s="20">
        <f>$E$735*(Inputs!$D$183+$E$734)</f>
      </c>
      <c r="F736" s="20">
        <f>$F$735*(Inputs!$E$183+$E$734)</f>
      </c>
      <c r="G736" s="20">
        <f>$G$735*(Inputs!$F$183+$E$734)</f>
      </c>
      <c r="H736" s="20">
        <f>$H$735*(Inputs!$G$183+$E$734)</f>
      </c>
      <c r="I736" s="20">
        <f>$I$735*(Inputs!$H$183+$E$734)</f>
      </c>
      <c r="J736" s="20">
        <f>$J$735*(Inputs!$I$183+$E$734)</f>
      </c>
    </row>
    <row r="737" spans="2:10" x14ac:dyDescent="0.25">
      <c r="B737" s="2" t="s">
        <v>1643</v>
      </c>
      <c r="C737" s="2" t="s">
        <v>14</v>
      </c>
      <c r="D737" s="20">
        <f>-(Inputs!$E$29+Inputs!$E$30)</f>
      </c>
      <c r="E737" s="20">
        <f>$E$735*Inputs!$D$184</f>
      </c>
      <c r="F737" s="20">
        <f>$F$735*Inputs!$E$184</f>
      </c>
      <c r="G737" s="20">
        <f>$G$735*Inputs!$F$184</f>
      </c>
      <c r="H737" s="20">
        <f>$H$735*Inputs!$G$184</f>
      </c>
      <c r="I737" s="20">
        <f>$I$735*Inputs!$H$184</f>
      </c>
      <c r="J737" s="20">
        <f>$J$735*Inputs!$I$184</f>
      </c>
    </row>
    <row r="738" spans="2:10" x14ac:dyDescent="0.25">
      <c r="B738" s="2" t="s">
        <v>1644</v>
      </c>
      <c r="C738" s="2" t="s">
        <v>14</v>
      </c>
      <c r="D738" s="20">
        <f>Normalization!$D$13-Inputs!$E$26-Inputs!$E$29-Inputs!$E$30</f>
      </c>
      <c r="E738" s="20">
        <f>$E$735*Inputs!$D$185</f>
      </c>
      <c r="F738" s="20">
        <f>$F$735*Inputs!$E$185</f>
      </c>
      <c r="G738" s="20">
        <f>$G$735*Inputs!$F$185</f>
      </c>
      <c r="H738" s="20">
        <f>$H$735*Inputs!$G$185</f>
      </c>
      <c r="I738" s="20">
        <f>$I$735*Inputs!$H$185</f>
      </c>
      <c r="J738" s="20">
        <f>$J$735*Inputs!$I$185</f>
      </c>
    </row>
    <row r="739" spans="2:10" x14ac:dyDescent="0.25">
      <c r="B739" s="9" t="s">
        <v>1645</v>
      </c>
      <c r="C739" s="2" t="s">
        <v>14</v>
      </c>
      <c r="D739" s="34">
        <f>$D$736-$D$737+$D$738</f>
      </c>
      <c r="E739" s="34">
        <f>$E$736-$E$737+$E$738</f>
      </c>
      <c r="F739" s="34">
        <f>$F$736-$F$737+$F$738</f>
      </c>
      <c r="G739" s="34">
        <f>$G$736-$G$737+$G$738</f>
      </c>
      <c r="H739" s="34">
        <f>$H$736-$H$737+$H$738</f>
      </c>
      <c r="I739" s="34">
        <f>$I$736-$I$737+$I$738</f>
      </c>
      <c r="J739" s="34">
        <f>$J$736-$J$737+$J$738</f>
      </c>
    </row>
    <row r="740" spans="2:10" x14ac:dyDescent="0.25">
      <c r="B740" s="2" t="s">
        <v>1646</v>
      </c>
      <c r="C740" s="2" t="s">
        <v>14</v>
      </c>
      <c r="E740" s="20">
        <f>Inputs!$E$57</f>
      </c>
      <c r="F740" s="20">
        <f>$E$745</f>
      </c>
      <c r="G740" s="20">
        <f>$F$745</f>
      </c>
      <c r="H740" s="20">
        <f>$G$745</f>
      </c>
      <c r="I740" s="20">
        <f>$H$745</f>
      </c>
      <c r="J740" s="20">
        <f>$I$745</f>
      </c>
    </row>
    <row r="741" spans="2:10" x14ac:dyDescent="0.25">
      <c r="B741" s="2" t="s">
        <v>1647</v>
      </c>
      <c r="C741" s="2" t="s">
        <v>14</v>
      </c>
      <c r="D741" s="20">
        <f>Inputs!$E$51</f>
      </c>
      <c r="E741" s="20">
        <f>IF(Inputs!$D$180="ppe_rollforward",Inputs!$D$187*$E$740,$E$735*Inputs!$D$186)</f>
      </c>
      <c r="F741" s="20">
        <f>IF(Inputs!$D$180="ppe_rollforward",Inputs!$E$187*$F$740,$F$735*Inputs!$E$186)</f>
      </c>
      <c r="G741" s="20">
        <f>IF(Inputs!$D$180="ppe_rollforward",Inputs!$F$187*$G$740,$G$735*Inputs!$F$186)</f>
      </c>
      <c r="H741" s="20">
        <f>IF(Inputs!$D$180="ppe_rollforward",Inputs!$G$187*$H$740,$H$735*Inputs!$G$186)</f>
      </c>
      <c r="I741" s="20">
        <f>IF(Inputs!$D$180="ppe_rollforward",Inputs!$H$187*$I$740,$I$735*Inputs!$H$186)</f>
      </c>
      <c r="J741" s="20">
        <f>IF(Inputs!$D$180="ppe_rollforward",Inputs!$I$187*$J$740,$J$735*Inputs!$I$186)</f>
      </c>
    </row>
    <row r="742" spans="2:10" x14ac:dyDescent="0.25">
      <c r="B742" s="2" t="s">
        <v>1648</v>
      </c>
      <c r="C742" s="2" t="s">
        <v>14</v>
      </c>
      <c r="D742" s="20">
        <f>Inputs!$E$52</f>
      </c>
      <c r="E742" s="20">
        <f>IF(Inputs!$D$180="ppe_rollforward",$E$735*Inputs!$D$188,0)</f>
      </c>
      <c r="F742" s="20">
        <f>IF(Inputs!$D$180="ppe_rollforward",$F$735*Inputs!$E$188,0)</f>
      </c>
      <c r="G742" s="20">
        <f>IF(Inputs!$D$180="ppe_rollforward",$G$735*Inputs!$F$188,0)</f>
      </c>
      <c r="H742" s="20">
        <f>IF(Inputs!$D$180="ppe_rollforward",$H$735*Inputs!$G$188,0)</f>
      </c>
      <c r="I742" s="20">
        <f>IF(Inputs!$D$180="ppe_rollforward",$I$735*Inputs!$H$188,0)</f>
      </c>
      <c r="J742" s="20">
        <f>IF(Inputs!$D$180="ppe_rollforward",$J$735*Inputs!$I$188,0)</f>
      </c>
    </row>
    <row r="743" spans="2:10" x14ac:dyDescent="0.25">
      <c r="B743" s="2" t="s">
        <v>1649</v>
      </c>
      <c r="C743" s="2" t="s">
        <v>14</v>
      </c>
      <c r="D743" s="20">
        <f>$D$741+$D$742</f>
      </c>
      <c r="E743" s="20">
        <f>$E$741+$E$742</f>
      </c>
      <c r="F743" s="20">
        <f>$F$741+$F$742</f>
      </c>
      <c r="G743" s="20">
        <f>$G$741+$G$742</f>
      </c>
      <c r="H743" s="20">
        <f>$H$741+$H$742</f>
      </c>
      <c r="I743" s="20">
        <f>$I$741+$I$742</f>
      </c>
      <c r="J743" s="20">
        <f>$J$741+$J$742</f>
      </c>
    </row>
    <row r="744" spans="2:10" x14ac:dyDescent="0.25">
      <c r="B744" s="2" t="s">
        <v>1650</v>
      </c>
      <c r="C744" s="2" t="s">
        <v>14</v>
      </c>
      <c r="D744" s="20">
        <f>-Inputs!$E$111</f>
      </c>
      <c r="E744" s="20">
        <f>IF(Inputs!$D$181="absolute",Inputs!$D$190,$E$735*Inputs!$D$189)</f>
      </c>
      <c r="F744" s="20">
        <f>IF(Inputs!$D$181="absolute",Inputs!$E$190,$F$735*Inputs!$E$189)</f>
      </c>
      <c r="G744" s="20">
        <f>IF(Inputs!$D$181="absolute",Inputs!$F$190,$G$735*Inputs!$F$189)</f>
      </c>
      <c r="H744" s="20">
        <f>IF(Inputs!$D$181="absolute",Inputs!$G$190,$H$735*Inputs!$G$189)</f>
      </c>
      <c r="I744" s="20">
        <f>IF(Inputs!$D$181="absolute",Inputs!$H$190,$I$735*Inputs!$H$189)</f>
      </c>
      <c r="J744" s="20">
        <f>$J$735*Inputs!$I$189</f>
      </c>
    </row>
    <row r="745" spans="2:10" x14ac:dyDescent="0.25">
      <c r="B745" s="2" t="s">
        <v>1651</v>
      </c>
      <c r="C745" s="2" t="s">
        <v>14</v>
      </c>
      <c r="D745" s="20">
        <f>Inputs!$E$57</f>
      </c>
      <c r="E745" s="20">
        <f>$E$740+$E$744-$E$741</f>
      </c>
      <c r="F745" s="20">
        <f>$F$740+$F$744-$F$741</f>
      </c>
      <c r="G745" s="20">
        <f>$G$740+$G$744-$G$741</f>
      </c>
      <c r="H745" s="20">
        <f>$H$740+$H$744-$H$741</f>
      </c>
      <c r="I745" s="20">
        <f>$I$740+$I$744-$I$741</f>
      </c>
      <c r="J745" s="20">
        <f>$J$740+$J$744-$J$741</f>
      </c>
    </row>
    <row r="746" spans="2:10" x14ac:dyDescent="0.25">
      <c r="B746" s="9" t="s">
        <v>1652</v>
      </c>
      <c r="C746" s="2" t="s">
        <v>14</v>
      </c>
      <c r="D746" s="35">
        <f>$D$739-$D$743</f>
      </c>
      <c r="E746" s="35">
        <f>$E$739-$E$743</f>
      </c>
      <c r="F746" s="35">
        <f>$F$739-$F$743</f>
      </c>
      <c r="G746" s="35">
        <f>$G$739-$G$743</f>
      </c>
      <c r="H746" s="35">
        <f>$H$739-$H$743</f>
      </c>
      <c r="I746" s="35">
        <f>$I$739-$I$743</f>
      </c>
      <c r="J746" s="35">
        <f>$J$739-$J$743</f>
      </c>
    </row>
    <row r="747" spans="2:10" x14ac:dyDescent="0.25">
      <c r="B747" s="2" t="s">
        <v>1653</v>
      </c>
      <c r="C747" s="2" t="s">
        <v>54</v>
      </c>
      <c r="D747" s="11">
        <f>Inputs!$D$133</f>
      </c>
      <c r="E747" s="11">
        <f>Inputs!$D$196</f>
      </c>
      <c r="F747" s="11">
        <f>Inputs!$E$196</f>
      </c>
      <c r="G747" s="11">
        <f>Inputs!$F$196</f>
      </c>
      <c r="H747" s="11">
        <f>Inputs!$G$196</f>
      </c>
      <c r="I747" s="11">
        <f>Inputs!$H$196</f>
      </c>
      <c r="J747" s="11">
        <f>Inputs!$I$196</f>
      </c>
    </row>
    <row r="748" spans="2:10" x14ac:dyDescent="0.25">
      <c r="B748" s="2" t="s">
        <v>1654</v>
      </c>
      <c r="C748" s="2" t="s">
        <v>14</v>
      </c>
      <c r="D748" s="20">
        <f>$D$746*$D$747</f>
      </c>
      <c r="E748" s="20">
        <f>$E$746*$E$747</f>
      </c>
      <c r="F748" s="20">
        <f>$F$746*$F$747</f>
      </c>
      <c r="G748" s="20">
        <f>$G$746*$G$747</f>
      </c>
      <c r="H748" s="20">
        <f>$H$746*$H$747</f>
      </c>
      <c r="I748" s="20">
        <f>$I$746*$I$747</f>
      </c>
      <c r="J748" s="20">
        <f>$J$746*$J$747</f>
      </c>
    </row>
    <row r="749" spans="2:10" x14ac:dyDescent="0.25">
      <c r="B749" s="2" t="s">
        <v>1655</v>
      </c>
      <c r="C749" s="2" t="s">
        <v>14</v>
      </c>
      <c r="D749" s="33">
        <f>$D$746-$D$748</f>
      </c>
      <c r="E749" s="33">
        <f>$E$746-$E$748</f>
      </c>
      <c r="F749" s="33">
        <f>$F$746-$F$748</f>
      </c>
      <c r="G749" s="33">
        <f>$G$746-$G$748</f>
      </c>
      <c r="H749" s="33">
        <f>$H$746-$H$748</f>
      </c>
      <c r="I749" s="33">
        <f>$I$746-$I$748</f>
      </c>
      <c r="J749" s="33">
        <f>$J$746-$J$748</f>
      </c>
    </row>
    <row r="750" spans="2:10" x14ac:dyDescent="0.25">
      <c r="B750" s="2" t="s">
        <v>1656</v>
      </c>
      <c r="C750" s="2" t="s">
        <v>14</v>
      </c>
      <c r="D750" s="20">
        <f>$D$735*(1-((Inputs!$E$26+Inputs!$E$51+Inputs!$E$52)/$D$735))</f>
      </c>
      <c r="E750" s="20">
        <f>$E$735*(1-(Inputs!$D$183+$E$734))</f>
      </c>
      <c r="F750" s="20">
        <f>$F$735*(1-(Inputs!$E$183+$E$734))</f>
      </c>
      <c r="G750" s="20">
        <f>$G$735*(1-(Inputs!$F$183+$E$734))</f>
      </c>
      <c r="H750" s="20">
        <f>$H$735*(1-(Inputs!$G$183+$E$734))</f>
      </c>
      <c r="I750" s="20">
        <f>$I$735*(1-(Inputs!$H$183+$E$734))</f>
      </c>
      <c r="J750" s="20">
        <f>$J$735*(1-(Inputs!$I$183+$E$734))</f>
      </c>
    </row>
    <row r="751" spans="2:10" x14ac:dyDescent="0.25">
      <c r="B751" s="2" t="s">
        <v>1657</v>
      </c>
      <c r="C751" s="2" t="s">
        <v>14</v>
      </c>
      <c r="D751" s="20">
        <f>Inputs!$E$67</f>
      </c>
      <c r="E751" s="20">
        <f>$E$735*Inputs!$D$191/Inputs!$D$18</f>
      </c>
      <c r="F751" s="20">
        <f>$F$735*Inputs!$E$191/Inputs!$D$18</f>
      </c>
      <c r="G751" s="20">
        <f>$G$735*Inputs!$F$191/Inputs!$D$18</f>
      </c>
      <c r="H751" s="20">
        <f>$H$735*Inputs!$G$191/Inputs!$D$18</f>
      </c>
      <c r="I751" s="20">
        <f>$I$735*Inputs!$H$191/Inputs!$D$18</f>
      </c>
      <c r="J751" s="20">
        <f>$J$735*Inputs!$I$191/Inputs!$D$18</f>
      </c>
    </row>
    <row r="752" spans="2:10" x14ac:dyDescent="0.25">
      <c r="B752" s="2" t="s">
        <v>1658</v>
      </c>
      <c r="C752" s="2" t="s">
        <v>14</v>
      </c>
      <c r="D752" s="20">
        <f>Inputs!$E$66</f>
      </c>
      <c r="E752" s="20">
        <f>$E$750*Inputs!$D$192/Inputs!$D$18</f>
      </c>
      <c r="F752" s="20">
        <f>$F$750*Inputs!$E$192/Inputs!$D$18</f>
      </c>
      <c r="G752" s="20">
        <f>$G$750*Inputs!$F$192/Inputs!$D$18</f>
      </c>
      <c r="H752" s="20">
        <f>$H$750*Inputs!$G$192/Inputs!$D$18</f>
      </c>
      <c r="I752" s="20">
        <f>$I$750*Inputs!$H$192/Inputs!$D$18</f>
      </c>
      <c r="J752" s="20">
        <f>$J$750*Inputs!$I$192/Inputs!$D$18</f>
      </c>
    </row>
    <row r="753" spans="2:10" x14ac:dyDescent="0.25">
      <c r="B753" s="2" t="s">
        <v>1659</v>
      </c>
      <c r="C753" s="2" t="s">
        <v>14</v>
      </c>
      <c r="D753" s="20">
        <f>Inputs!$E$93</f>
      </c>
      <c r="E753" s="20">
        <f>$E$750*Inputs!$D$193/Inputs!$D$18</f>
      </c>
      <c r="F753" s="20">
        <f>$F$750*Inputs!$E$193/Inputs!$D$18</f>
      </c>
      <c r="G753" s="20">
        <f>$G$750*Inputs!$F$193/Inputs!$D$18</f>
      </c>
      <c r="H753" s="20">
        <f>$H$750*Inputs!$G$193/Inputs!$D$18</f>
      </c>
      <c r="I753" s="20">
        <f>$I$750*Inputs!$H$193/Inputs!$D$18</f>
      </c>
      <c r="J753" s="20">
        <f>$J$750*Inputs!$I$193/Inputs!$D$18</f>
      </c>
    </row>
    <row r="754" spans="2:10" x14ac:dyDescent="0.25">
      <c r="B754" s="2" t="s">
        <v>1660</v>
      </c>
      <c r="C754" s="2" t="s">
        <v>14</v>
      </c>
      <c r="D754" s="20">
        <f>Inputs!$E$70+Inputs!$E$72+Inputs!$E$71</f>
      </c>
      <c r="E754" s="20">
        <f>$E$735*Inputs!$D$194</f>
      </c>
      <c r="F754" s="20">
        <f>$F$735*Inputs!$E$194</f>
      </c>
      <c r="G754" s="20">
        <f>$G$735*Inputs!$F$194</f>
      </c>
      <c r="H754" s="20">
        <f>$H$735*Inputs!$G$194</f>
      </c>
      <c r="I754" s="20">
        <f>$I$735*Inputs!$H$194</f>
      </c>
      <c r="J754" s="20">
        <f>$J$735*Inputs!$I$194</f>
      </c>
    </row>
    <row r="755" spans="2:10" x14ac:dyDescent="0.25">
      <c r="B755" s="2" t="s">
        <v>1661</v>
      </c>
      <c r="C755" s="2" t="s">
        <v>14</v>
      </c>
      <c r="D755" s="20">
        <f>Inputs!$E$94+Inputs!$E$95+Inputs!$E$97+Inputs!$E$98+Inputs!$E$99</f>
      </c>
      <c r="E755" s="20">
        <f>$E$735*Inputs!$D$195</f>
      </c>
      <c r="F755" s="20">
        <f>$F$735*Inputs!$E$195</f>
      </c>
      <c r="G755" s="20">
        <f>$G$735*Inputs!$F$195</f>
      </c>
      <c r="H755" s="20">
        <f>$H$735*Inputs!$G$195</f>
      </c>
      <c r="I755" s="20">
        <f>$I$735*Inputs!$H$195</f>
      </c>
      <c r="J755" s="20">
        <f>$J$735*Inputs!$I$195</f>
      </c>
    </row>
    <row r="756" spans="2:10" x14ac:dyDescent="0.25">
      <c r="B756" s="2" t="s">
        <v>1662</v>
      </c>
      <c r="C756" s="2" t="s">
        <v>14</v>
      </c>
      <c r="D756" s="33">
        <f>$D$751+$D$752+$D$754-$D$753-$D$755</f>
      </c>
      <c r="E756" s="33">
        <f>$E$751+$E$752+$E$754-$E$753-$E$755</f>
      </c>
      <c r="F756" s="33">
        <f>$F$751+$F$752+$F$754-$F$753-$F$755</f>
      </c>
      <c r="G756" s="33">
        <f>$G$751+$G$752+$G$754-$G$753-$G$755</f>
      </c>
      <c r="H756" s="33">
        <f>$H$751+$H$752+$H$754-$H$753-$H$755</f>
      </c>
      <c r="I756" s="33">
        <f>$I$751+$I$752+$I$754-$I$753-$I$755</f>
      </c>
      <c r="J756" s="33">
        <f>$J$751+$J$752+$J$754-$J$753-$J$755</f>
      </c>
    </row>
    <row r="757" spans="2:10" x14ac:dyDescent="0.25">
      <c r="B757" s="2" t="s">
        <v>1663</v>
      </c>
      <c r="C757" s="2" t="s">
        <v>14</v>
      </c>
      <c r="E757" s="20">
        <f>$E$756-$D$756</f>
      </c>
      <c r="F757" s="20">
        <f>$F$756-$E$756</f>
      </c>
      <c r="G757" s="20">
        <f>$G$756-$F$756</f>
      </c>
      <c r="H757" s="20">
        <f>$H$756-$G$756</f>
      </c>
      <c r="I757" s="20">
        <f>$I$756-$H$756</f>
      </c>
      <c r="J757" s="20">
        <f>$J$756-$I$756</f>
      </c>
    </row>
    <row r="758" spans="2:10" x14ac:dyDescent="0.25">
      <c r="B758" s="2" t="s">
        <v>1664</v>
      </c>
      <c r="C758" s="2" t="s">
        <v>14</v>
      </c>
      <c r="D758" s="20">
        <f>Inputs!$E$49</f>
      </c>
      <c r="E758" s="20">
        <f>$E$749+Inputs!$D$202*(1-$E$747)</f>
      </c>
      <c r="F758" s="20">
        <f>$F$749+Inputs!$D$202*(1-$F$747)</f>
      </c>
      <c r="G758" s="20">
        <f>$G$749+Inputs!$D$202*(1-$G$747)</f>
      </c>
      <c r="H758" s="20">
        <f>$H$749+Inputs!$D$202*(1-$H$747)</f>
      </c>
      <c r="I758" s="20">
        <f>$I$749+Inputs!$D$202*(1-$I$747)</f>
      </c>
      <c r="J758" s="20">
        <f>$J$749+Inputs!$D$202*(1-$J$747)</f>
      </c>
    </row>
    <row r="759" spans="2:10" x14ac:dyDescent="0.25">
      <c r="B759" s="2" t="s">
        <v>1665</v>
      </c>
      <c r="C759" s="2" t="s">
        <v>14</v>
      </c>
      <c r="E759" s="20">
        <f>IF(Inputs!$D$200=1,Inputs!$D$201*$D$758,0)</f>
      </c>
      <c r="F759" s="20">
        <f>IF(Inputs!$D$200=1,Inputs!$D$201*$E$758,0)</f>
      </c>
      <c r="G759" s="20">
        <f>IF(Inputs!$D$200=1,Inputs!$D$201*$F$758,0)</f>
      </c>
      <c r="H759" s="20">
        <f>IF(Inputs!$D$200=1,Inputs!$D$201*$G$758,0)</f>
      </c>
      <c r="I759" s="20">
        <f>IF(Inputs!$D$200=1,Inputs!$D$201*$H$758,0)</f>
      </c>
      <c r="J759" s="20">
        <f>IF(Inputs!$D$200=1,Inputs!$D$201*$I$758,0)</f>
      </c>
    </row>
    <row r="760" spans="2:10" x14ac:dyDescent="0.25">
      <c r="B760" s="9" t="s">
        <v>1666</v>
      </c>
      <c r="C760" s="2" t="s">
        <v>14</v>
      </c>
      <c r="E760" s="34">
        <f>$E$749+$E$743-$E$744-$E$757-$E$759</f>
      </c>
      <c r="F760" s="34">
        <f>$F$749+$F$743-$F$744-$F$757-$F$759</f>
      </c>
      <c r="G760" s="34">
        <f>$G$749+$G$743-$G$744-$G$757-$G$759</f>
      </c>
      <c r="H760" s="34">
        <f>$H$749+$H$743-$H$744-$H$757-$H$759</f>
      </c>
      <c r="I760" s="34">
        <f>$I$749+$I$743-$I$744-$I$757-$I$759</f>
      </c>
      <c r="J760" s="34">
        <f>$J$749+$J$743-$J$744-$J$757-$J$759</f>
      </c>
    </row>
    <row r="761" spans="2:9" x14ac:dyDescent="0.25">
      <c r="B761" s="2" t="s">
        <v>1667</v>
      </c>
      <c r="C761" s="2" t="s">
        <v>14</v>
      </c>
      <c r="E761" s="20">
        <f>$E$760*DCF!$D$10*(1+WACC!$D$54)^(-DCF!$D$12)</f>
      </c>
      <c r="F761" s="20">
        <f>$F$760*DCF!$E$10*(1+WACC!$D$54)^(-DCF!$E$12)</f>
      </c>
      <c r="G761" s="20">
        <f>$G$760*DCF!$F$10*(1+WACC!$D$54)^(-DCF!$F$12)</f>
      </c>
      <c r="H761" s="20">
        <f>$H$760*DCF!$G$10*(1+WACC!$D$54)^(-DCF!$G$12)</f>
      </c>
      <c r="I761" s="20">
        <f>$I$760*DCF!$H$10*(1+WACC!$D$54)^(-DCF!$H$12)</f>
      </c>
    </row>
    <row r="762" spans="2:4" x14ac:dyDescent="0.25">
      <c r="B762" s="2" t="s">
        <v>1668</v>
      </c>
      <c r="C762" s="2" t="s">
        <v>14</v>
      </c>
      <c r="D762" s="20">
        <f>SUM($E$761:$I$761)</f>
      </c>
    </row>
    <row r="763" spans="2:4" x14ac:dyDescent="0.25">
      <c r="B763" s="2" t="s">
        <v>1669</v>
      </c>
      <c r="C763" s="2" t="s">
        <v>14</v>
      </c>
      <c r="D763" s="20">
        <f>IF(Inputs!$D$171="gordon",IF(Inputs!$D$172&lt;WACC!$D$54,$J$760/(WACC!$D$54-Inputs!$D$172),"n/a"),$I$739*Inputs!$D$173)</f>
      </c>
    </row>
    <row r="764" spans="2:4" x14ac:dyDescent="0.25">
      <c r="B764" s="2" t="s">
        <v>1670</v>
      </c>
      <c r="C764" s="2" t="s">
        <v>14</v>
      </c>
      <c r="D764" s="33">
        <f>IFERROR($D$762+$D$763*(1+WACC!$D$54)^(-DCF!$D$21),"n/a")</f>
      </c>
    </row>
    <row r="765" spans="2:4" x14ac:dyDescent="0.25">
      <c r="B765" s="2" t="s">
        <v>1671</v>
      </c>
      <c r="C765" s="2" t="s">
        <v>14</v>
      </c>
      <c r="D765" s="20">
        <f>IFERROR($D$764+DCF!$D$51,"n/a")</f>
      </c>
    </row>
    <row r="766" spans="2:4" x14ac:dyDescent="0.25">
      <c r="B766" s="9" t="s">
        <v>1672</v>
      </c>
      <c r="C766" s="2" t="s">
        <v>14</v>
      </c>
      <c r="D766" s="40">
        <f>IFERROR($D$765/Inputs!$D$15,"n/a")</f>
      </c>
    </row>
    <row r="768" spans="2:5" x14ac:dyDescent="0.25">
      <c r="B768" s="2" t="s">
        <v>1673</v>
      </c>
      <c r="C768" s="2" t="s">
        <v>326</v>
      </c>
      <c r="D768" s="15">
        <f>Inputs!$H$237*Inputs!$D$233</f>
      </c>
      <c r="E768" s="15">
        <f>Inputs!$E$237*Inputs!$D$234</f>
      </c>
    </row>
    <row r="769" spans="2:10" x14ac:dyDescent="0.25">
      <c r="B769" s="9" t="s">
        <v>1674</v>
      </c>
      <c r="C769" s="2" t="s">
        <v>14</v>
      </c>
      <c r="D769" s="35">
        <f>Inputs!$E$23</f>
      </c>
      <c r="E769" s="35">
        <f>$D$769*(1+(Inputs!$D$182+$D$768))</f>
      </c>
      <c r="F769" s="35">
        <f>$E$769*(1+(Inputs!$E$182+$D$768))</f>
      </c>
      <c r="G769" s="35">
        <f>$F$769*(1+(Inputs!$F$182+$D$768))</f>
      </c>
      <c r="H769" s="35">
        <f>$G$769*(1+(Inputs!$G$182+$D$768))</f>
      </c>
      <c r="I769" s="35">
        <f>$H$769*(1+(Inputs!$H$182+$D$768))</f>
      </c>
      <c r="J769" s="35">
        <f>$I$769*(1+Inputs!$D$172)</f>
      </c>
    </row>
    <row r="770" spans="2:10" x14ac:dyDescent="0.25">
      <c r="B770" s="2" t="s">
        <v>1675</v>
      </c>
      <c r="C770" s="2" t="s">
        <v>14</v>
      </c>
      <c r="D770" s="20">
        <f>$D$769*((Inputs!$E$26+Inputs!$E$51+Inputs!$E$52)/$D$769)</f>
      </c>
      <c r="E770" s="20">
        <f>$E$769*(Inputs!$D$183+$E$768)</f>
      </c>
      <c r="F770" s="20">
        <f>$F$769*(Inputs!$E$183+$E$768)</f>
      </c>
      <c r="G770" s="20">
        <f>$G$769*(Inputs!$F$183+$E$768)</f>
      </c>
      <c r="H770" s="20">
        <f>$H$769*(Inputs!$G$183+$E$768)</f>
      </c>
      <c r="I770" s="20">
        <f>$I$769*(Inputs!$H$183+$E$768)</f>
      </c>
      <c r="J770" s="20">
        <f>$J$769*(Inputs!$I$183+$E$768)</f>
      </c>
    </row>
    <row r="771" spans="2:10" x14ac:dyDescent="0.25">
      <c r="B771" s="2" t="s">
        <v>1676</v>
      </c>
      <c r="C771" s="2" t="s">
        <v>14</v>
      </c>
      <c r="D771" s="20">
        <f>-(Inputs!$E$29+Inputs!$E$30)</f>
      </c>
      <c r="E771" s="20">
        <f>$E$769*Inputs!$D$184</f>
      </c>
      <c r="F771" s="20">
        <f>$F$769*Inputs!$E$184</f>
      </c>
      <c r="G771" s="20">
        <f>$G$769*Inputs!$F$184</f>
      </c>
      <c r="H771" s="20">
        <f>$H$769*Inputs!$G$184</f>
      </c>
      <c r="I771" s="20">
        <f>$I$769*Inputs!$H$184</f>
      </c>
      <c r="J771" s="20">
        <f>$J$769*Inputs!$I$184</f>
      </c>
    </row>
    <row r="772" spans="2:10" x14ac:dyDescent="0.25">
      <c r="B772" s="2" t="s">
        <v>1677</v>
      </c>
      <c r="C772" s="2" t="s">
        <v>14</v>
      </c>
      <c r="D772" s="20">
        <f>Normalization!$D$13-Inputs!$E$26-Inputs!$E$29-Inputs!$E$30</f>
      </c>
      <c r="E772" s="20">
        <f>$E$769*Inputs!$D$185</f>
      </c>
      <c r="F772" s="20">
        <f>$F$769*Inputs!$E$185</f>
      </c>
      <c r="G772" s="20">
        <f>$G$769*Inputs!$F$185</f>
      </c>
      <c r="H772" s="20">
        <f>$H$769*Inputs!$G$185</f>
      </c>
      <c r="I772" s="20">
        <f>$I$769*Inputs!$H$185</f>
      </c>
      <c r="J772" s="20">
        <f>$J$769*Inputs!$I$185</f>
      </c>
    </row>
    <row r="773" spans="2:10" x14ac:dyDescent="0.25">
      <c r="B773" s="9" t="s">
        <v>1678</v>
      </c>
      <c r="C773" s="2" t="s">
        <v>14</v>
      </c>
      <c r="D773" s="34">
        <f>$D$770-$D$771+$D$772</f>
      </c>
      <c r="E773" s="34">
        <f>$E$770-$E$771+$E$772</f>
      </c>
      <c r="F773" s="34">
        <f>$F$770-$F$771+$F$772</f>
      </c>
      <c r="G773" s="34">
        <f>$G$770-$G$771+$G$772</f>
      </c>
      <c r="H773" s="34">
        <f>$H$770-$H$771+$H$772</f>
      </c>
      <c r="I773" s="34">
        <f>$I$770-$I$771+$I$772</f>
      </c>
      <c r="J773" s="34">
        <f>$J$770-$J$771+$J$772</f>
      </c>
    </row>
    <row r="774" spans="2:10" x14ac:dyDescent="0.25">
      <c r="B774" s="2" t="s">
        <v>1679</v>
      </c>
      <c r="C774" s="2" t="s">
        <v>14</v>
      </c>
      <c r="E774" s="20">
        <f>Inputs!$E$57</f>
      </c>
      <c r="F774" s="20">
        <f>$E$779</f>
      </c>
      <c r="G774" s="20">
        <f>$F$779</f>
      </c>
      <c r="H774" s="20">
        <f>$G$779</f>
      </c>
      <c r="I774" s="20">
        <f>$H$779</f>
      </c>
      <c r="J774" s="20">
        <f>$I$779</f>
      </c>
    </row>
    <row r="775" spans="2:10" x14ac:dyDescent="0.25">
      <c r="B775" s="2" t="s">
        <v>1680</v>
      </c>
      <c r="C775" s="2" t="s">
        <v>14</v>
      </c>
      <c r="D775" s="20">
        <f>Inputs!$E$51</f>
      </c>
      <c r="E775" s="20">
        <f>IF(Inputs!$D$180="ppe_rollforward",Inputs!$D$187*$E$774,$E$769*Inputs!$D$186)</f>
      </c>
      <c r="F775" s="20">
        <f>IF(Inputs!$D$180="ppe_rollforward",Inputs!$E$187*$F$774,$F$769*Inputs!$E$186)</f>
      </c>
      <c r="G775" s="20">
        <f>IF(Inputs!$D$180="ppe_rollforward",Inputs!$F$187*$G$774,$G$769*Inputs!$F$186)</f>
      </c>
      <c r="H775" s="20">
        <f>IF(Inputs!$D$180="ppe_rollforward",Inputs!$G$187*$H$774,$H$769*Inputs!$G$186)</f>
      </c>
      <c r="I775" s="20">
        <f>IF(Inputs!$D$180="ppe_rollforward",Inputs!$H$187*$I$774,$I$769*Inputs!$H$186)</f>
      </c>
      <c r="J775" s="20">
        <f>IF(Inputs!$D$180="ppe_rollforward",Inputs!$I$187*$J$774,$J$769*Inputs!$I$186)</f>
      </c>
    </row>
    <row r="776" spans="2:10" x14ac:dyDescent="0.25">
      <c r="B776" s="2" t="s">
        <v>1681</v>
      </c>
      <c r="C776" s="2" t="s">
        <v>14</v>
      </c>
      <c r="D776" s="20">
        <f>Inputs!$E$52</f>
      </c>
      <c r="E776" s="20">
        <f>IF(Inputs!$D$180="ppe_rollforward",$E$769*Inputs!$D$188,0)</f>
      </c>
      <c r="F776" s="20">
        <f>IF(Inputs!$D$180="ppe_rollforward",$F$769*Inputs!$E$188,0)</f>
      </c>
      <c r="G776" s="20">
        <f>IF(Inputs!$D$180="ppe_rollforward",$G$769*Inputs!$F$188,0)</f>
      </c>
      <c r="H776" s="20">
        <f>IF(Inputs!$D$180="ppe_rollforward",$H$769*Inputs!$G$188,0)</f>
      </c>
      <c r="I776" s="20">
        <f>IF(Inputs!$D$180="ppe_rollforward",$I$769*Inputs!$H$188,0)</f>
      </c>
      <c r="J776" s="20">
        <f>IF(Inputs!$D$180="ppe_rollforward",$J$769*Inputs!$I$188,0)</f>
      </c>
    </row>
    <row r="777" spans="2:10" x14ac:dyDescent="0.25">
      <c r="B777" s="2" t="s">
        <v>1682</v>
      </c>
      <c r="C777" s="2" t="s">
        <v>14</v>
      </c>
      <c r="D777" s="20">
        <f>$D$775+$D$776</f>
      </c>
      <c r="E777" s="20">
        <f>$E$775+$E$776</f>
      </c>
      <c r="F777" s="20">
        <f>$F$775+$F$776</f>
      </c>
      <c r="G777" s="20">
        <f>$G$775+$G$776</f>
      </c>
      <c r="H777" s="20">
        <f>$H$775+$H$776</f>
      </c>
      <c r="I777" s="20">
        <f>$I$775+$I$776</f>
      </c>
      <c r="J777" s="20">
        <f>$J$775+$J$776</f>
      </c>
    </row>
    <row r="778" spans="2:10" x14ac:dyDescent="0.25">
      <c r="B778" s="2" t="s">
        <v>1683</v>
      </c>
      <c r="C778" s="2" t="s">
        <v>14</v>
      </c>
      <c r="D778" s="20">
        <f>-Inputs!$E$111</f>
      </c>
      <c r="E778" s="20">
        <f>IF(Inputs!$D$181="absolute",Inputs!$D$190,$E$769*Inputs!$D$189)</f>
      </c>
      <c r="F778" s="20">
        <f>IF(Inputs!$D$181="absolute",Inputs!$E$190,$F$769*Inputs!$E$189)</f>
      </c>
      <c r="G778" s="20">
        <f>IF(Inputs!$D$181="absolute",Inputs!$F$190,$G$769*Inputs!$F$189)</f>
      </c>
      <c r="H778" s="20">
        <f>IF(Inputs!$D$181="absolute",Inputs!$G$190,$H$769*Inputs!$G$189)</f>
      </c>
      <c r="I778" s="20">
        <f>IF(Inputs!$D$181="absolute",Inputs!$H$190,$I$769*Inputs!$H$189)</f>
      </c>
      <c r="J778" s="20">
        <f>$J$769*Inputs!$I$189</f>
      </c>
    </row>
    <row r="779" spans="2:10" x14ac:dyDescent="0.25">
      <c r="B779" s="2" t="s">
        <v>1684</v>
      </c>
      <c r="C779" s="2" t="s">
        <v>14</v>
      </c>
      <c r="D779" s="20">
        <f>Inputs!$E$57</f>
      </c>
      <c r="E779" s="20">
        <f>$E$774+$E$778-$E$775</f>
      </c>
      <c r="F779" s="20">
        <f>$F$774+$F$778-$F$775</f>
      </c>
      <c r="G779" s="20">
        <f>$G$774+$G$778-$G$775</f>
      </c>
      <c r="H779" s="20">
        <f>$H$774+$H$778-$H$775</f>
      </c>
      <c r="I779" s="20">
        <f>$I$774+$I$778-$I$775</f>
      </c>
      <c r="J779" s="20">
        <f>$J$774+$J$778-$J$775</f>
      </c>
    </row>
    <row r="780" spans="2:10" x14ac:dyDescent="0.25">
      <c r="B780" s="9" t="s">
        <v>1685</v>
      </c>
      <c r="C780" s="2" t="s">
        <v>14</v>
      </c>
      <c r="D780" s="35">
        <f>$D$773-$D$777</f>
      </c>
      <c r="E780" s="35">
        <f>$E$773-$E$777</f>
      </c>
      <c r="F780" s="35">
        <f>$F$773-$F$777</f>
      </c>
      <c r="G780" s="35">
        <f>$G$773-$G$777</f>
      </c>
      <c r="H780" s="35">
        <f>$H$773-$H$777</f>
      </c>
      <c r="I780" s="35">
        <f>$I$773-$I$777</f>
      </c>
      <c r="J780" s="35">
        <f>$J$773-$J$777</f>
      </c>
    </row>
    <row r="781" spans="2:10" x14ac:dyDescent="0.25">
      <c r="B781" s="2" t="s">
        <v>1686</v>
      </c>
      <c r="C781" s="2" t="s">
        <v>54</v>
      </c>
      <c r="D781" s="11">
        <f>Inputs!$D$133</f>
      </c>
      <c r="E781" s="11">
        <f>Inputs!$D$196</f>
      </c>
      <c r="F781" s="11">
        <f>Inputs!$E$196</f>
      </c>
      <c r="G781" s="11">
        <f>Inputs!$F$196</f>
      </c>
      <c r="H781" s="11">
        <f>Inputs!$G$196</f>
      </c>
      <c r="I781" s="11">
        <f>Inputs!$H$196</f>
      </c>
      <c r="J781" s="11">
        <f>Inputs!$I$196</f>
      </c>
    </row>
    <row r="782" spans="2:10" x14ac:dyDescent="0.25">
      <c r="B782" s="2" t="s">
        <v>1687</v>
      </c>
      <c r="C782" s="2" t="s">
        <v>14</v>
      </c>
      <c r="D782" s="20">
        <f>$D$780*$D$781</f>
      </c>
      <c r="E782" s="20">
        <f>$E$780*$E$781</f>
      </c>
      <c r="F782" s="20">
        <f>$F$780*$F$781</f>
      </c>
      <c r="G782" s="20">
        <f>$G$780*$G$781</f>
      </c>
      <c r="H782" s="20">
        <f>$H$780*$H$781</f>
      </c>
      <c r="I782" s="20">
        <f>$I$780*$I$781</f>
      </c>
      <c r="J782" s="20">
        <f>$J$780*$J$781</f>
      </c>
    </row>
    <row r="783" spans="2:10" x14ac:dyDescent="0.25">
      <c r="B783" s="2" t="s">
        <v>1688</v>
      </c>
      <c r="C783" s="2" t="s">
        <v>14</v>
      </c>
      <c r="D783" s="33">
        <f>$D$780-$D$782</f>
      </c>
      <c r="E783" s="33">
        <f>$E$780-$E$782</f>
      </c>
      <c r="F783" s="33">
        <f>$F$780-$F$782</f>
      </c>
      <c r="G783" s="33">
        <f>$G$780-$G$782</f>
      </c>
      <c r="H783" s="33">
        <f>$H$780-$H$782</f>
      </c>
      <c r="I783" s="33">
        <f>$I$780-$I$782</f>
      </c>
      <c r="J783" s="33">
        <f>$J$780-$J$782</f>
      </c>
    </row>
    <row r="784" spans="2:10" x14ac:dyDescent="0.25">
      <c r="B784" s="2" t="s">
        <v>1689</v>
      </c>
      <c r="C784" s="2" t="s">
        <v>14</v>
      </c>
      <c r="D784" s="20">
        <f>$D$769*(1-((Inputs!$E$26+Inputs!$E$51+Inputs!$E$52)/$D$769))</f>
      </c>
      <c r="E784" s="20">
        <f>$E$769*(1-(Inputs!$D$183+$E$768))</f>
      </c>
      <c r="F784" s="20">
        <f>$F$769*(1-(Inputs!$E$183+$E$768))</f>
      </c>
      <c r="G784" s="20">
        <f>$G$769*(1-(Inputs!$F$183+$E$768))</f>
      </c>
      <c r="H784" s="20">
        <f>$H$769*(1-(Inputs!$G$183+$E$768))</f>
      </c>
      <c r="I784" s="20">
        <f>$I$769*(1-(Inputs!$H$183+$E$768))</f>
      </c>
      <c r="J784" s="20">
        <f>$J$769*(1-(Inputs!$I$183+$E$768))</f>
      </c>
    </row>
    <row r="785" spans="2:10" x14ac:dyDescent="0.25">
      <c r="B785" s="2" t="s">
        <v>1690</v>
      </c>
      <c r="C785" s="2" t="s">
        <v>14</v>
      </c>
      <c r="D785" s="20">
        <f>Inputs!$E$67</f>
      </c>
      <c r="E785" s="20">
        <f>$E$769*Inputs!$D$191/Inputs!$D$18</f>
      </c>
      <c r="F785" s="20">
        <f>$F$769*Inputs!$E$191/Inputs!$D$18</f>
      </c>
      <c r="G785" s="20">
        <f>$G$769*Inputs!$F$191/Inputs!$D$18</f>
      </c>
      <c r="H785" s="20">
        <f>$H$769*Inputs!$G$191/Inputs!$D$18</f>
      </c>
      <c r="I785" s="20">
        <f>$I$769*Inputs!$H$191/Inputs!$D$18</f>
      </c>
      <c r="J785" s="20">
        <f>$J$769*Inputs!$I$191/Inputs!$D$18</f>
      </c>
    </row>
    <row r="786" spans="2:10" x14ac:dyDescent="0.25">
      <c r="B786" s="2" t="s">
        <v>1691</v>
      </c>
      <c r="C786" s="2" t="s">
        <v>14</v>
      </c>
      <c r="D786" s="20">
        <f>Inputs!$E$66</f>
      </c>
      <c r="E786" s="20">
        <f>$E$784*Inputs!$D$192/Inputs!$D$18</f>
      </c>
      <c r="F786" s="20">
        <f>$F$784*Inputs!$E$192/Inputs!$D$18</f>
      </c>
      <c r="G786" s="20">
        <f>$G$784*Inputs!$F$192/Inputs!$D$18</f>
      </c>
      <c r="H786" s="20">
        <f>$H$784*Inputs!$G$192/Inputs!$D$18</f>
      </c>
      <c r="I786" s="20">
        <f>$I$784*Inputs!$H$192/Inputs!$D$18</f>
      </c>
      <c r="J786" s="20">
        <f>$J$784*Inputs!$I$192/Inputs!$D$18</f>
      </c>
    </row>
    <row r="787" spans="2:10" x14ac:dyDescent="0.25">
      <c r="B787" s="2" t="s">
        <v>1692</v>
      </c>
      <c r="C787" s="2" t="s">
        <v>14</v>
      </c>
      <c r="D787" s="20">
        <f>Inputs!$E$93</f>
      </c>
      <c r="E787" s="20">
        <f>$E$784*Inputs!$D$193/Inputs!$D$18</f>
      </c>
      <c r="F787" s="20">
        <f>$F$784*Inputs!$E$193/Inputs!$D$18</f>
      </c>
      <c r="G787" s="20">
        <f>$G$784*Inputs!$F$193/Inputs!$D$18</f>
      </c>
      <c r="H787" s="20">
        <f>$H$784*Inputs!$G$193/Inputs!$D$18</f>
      </c>
      <c r="I787" s="20">
        <f>$I$784*Inputs!$H$193/Inputs!$D$18</f>
      </c>
      <c r="J787" s="20">
        <f>$J$784*Inputs!$I$193/Inputs!$D$18</f>
      </c>
    </row>
    <row r="788" spans="2:10" x14ac:dyDescent="0.25">
      <c r="B788" s="2" t="s">
        <v>1693</v>
      </c>
      <c r="C788" s="2" t="s">
        <v>14</v>
      </c>
      <c r="D788" s="20">
        <f>Inputs!$E$70+Inputs!$E$72+Inputs!$E$71</f>
      </c>
      <c r="E788" s="20">
        <f>$E$769*Inputs!$D$194</f>
      </c>
      <c r="F788" s="20">
        <f>$F$769*Inputs!$E$194</f>
      </c>
      <c r="G788" s="20">
        <f>$G$769*Inputs!$F$194</f>
      </c>
      <c r="H788" s="20">
        <f>$H$769*Inputs!$G$194</f>
      </c>
      <c r="I788" s="20">
        <f>$I$769*Inputs!$H$194</f>
      </c>
      <c r="J788" s="20">
        <f>$J$769*Inputs!$I$194</f>
      </c>
    </row>
    <row r="789" spans="2:10" x14ac:dyDescent="0.25">
      <c r="B789" s="2" t="s">
        <v>1694</v>
      </c>
      <c r="C789" s="2" t="s">
        <v>14</v>
      </c>
      <c r="D789" s="20">
        <f>Inputs!$E$94+Inputs!$E$95+Inputs!$E$97+Inputs!$E$98+Inputs!$E$99</f>
      </c>
      <c r="E789" s="20">
        <f>$E$769*Inputs!$D$195</f>
      </c>
      <c r="F789" s="20">
        <f>$F$769*Inputs!$E$195</f>
      </c>
      <c r="G789" s="20">
        <f>$G$769*Inputs!$F$195</f>
      </c>
      <c r="H789" s="20">
        <f>$H$769*Inputs!$G$195</f>
      </c>
      <c r="I789" s="20">
        <f>$I$769*Inputs!$H$195</f>
      </c>
      <c r="J789" s="20">
        <f>$J$769*Inputs!$I$195</f>
      </c>
    </row>
    <row r="790" spans="2:10" x14ac:dyDescent="0.25">
      <c r="B790" s="2" t="s">
        <v>1695</v>
      </c>
      <c r="C790" s="2" t="s">
        <v>14</v>
      </c>
      <c r="D790" s="33">
        <f>$D$785+$D$786+$D$788-$D$787-$D$789</f>
      </c>
      <c r="E790" s="33">
        <f>$E$785+$E$786+$E$788-$E$787-$E$789</f>
      </c>
      <c r="F790" s="33">
        <f>$F$785+$F$786+$F$788-$F$787-$F$789</f>
      </c>
      <c r="G790" s="33">
        <f>$G$785+$G$786+$G$788-$G$787-$G$789</f>
      </c>
      <c r="H790" s="33">
        <f>$H$785+$H$786+$H$788-$H$787-$H$789</f>
      </c>
      <c r="I790" s="33">
        <f>$I$785+$I$786+$I$788-$I$787-$I$789</f>
      </c>
      <c r="J790" s="33">
        <f>$J$785+$J$786+$J$788-$J$787-$J$789</f>
      </c>
    </row>
    <row r="791" spans="2:10" x14ac:dyDescent="0.25">
      <c r="B791" s="2" t="s">
        <v>1696</v>
      </c>
      <c r="C791" s="2" t="s">
        <v>14</v>
      </c>
      <c r="E791" s="20">
        <f>$E$790-$D$790</f>
      </c>
      <c r="F791" s="20">
        <f>$F$790-$E$790</f>
      </c>
      <c r="G791" s="20">
        <f>$G$790-$F$790</f>
      </c>
      <c r="H791" s="20">
        <f>$H$790-$G$790</f>
      </c>
      <c r="I791" s="20">
        <f>$I$790-$H$790</f>
      </c>
      <c r="J791" s="20">
        <f>$J$790-$I$790</f>
      </c>
    </row>
    <row r="792" spans="2:10" x14ac:dyDescent="0.25">
      <c r="B792" s="2" t="s">
        <v>1697</v>
      </c>
      <c r="C792" s="2" t="s">
        <v>14</v>
      </c>
      <c r="D792" s="20">
        <f>Inputs!$E$49</f>
      </c>
      <c r="E792" s="20">
        <f>$E$783+Inputs!$D$202*(1-$E$781)</f>
      </c>
      <c r="F792" s="20">
        <f>$F$783+Inputs!$D$202*(1-$F$781)</f>
      </c>
      <c r="G792" s="20">
        <f>$G$783+Inputs!$D$202*(1-$G$781)</f>
      </c>
      <c r="H792" s="20">
        <f>$H$783+Inputs!$D$202*(1-$H$781)</f>
      </c>
      <c r="I792" s="20">
        <f>$I$783+Inputs!$D$202*(1-$I$781)</f>
      </c>
      <c r="J792" s="20">
        <f>$J$783+Inputs!$D$202*(1-$J$781)</f>
      </c>
    </row>
    <row r="793" spans="2:10" x14ac:dyDescent="0.25">
      <c r="B793" s="2" t="s">
        <v>1698</v>
      </c>
      <c r="C793" s="2" t="s">
        <v>14</v>
      </c>
      <c r="E793" s="20">
        <f>IF(Inputs!$D$200=1,Inputs!$D$201*$D$792,0)</f>
      </c>
      <c r="F793" s="20">
        <f>IF(Inputs!$D$200=1,Inputs!$D$201*$E$792,0)</f>
      </c>
      <c r="G793" s="20">
        <f>IF(Inputs!$D$200=1,Inputs!$D$201*$F$792,0)</f>
      </c>
      <c r="H793" s="20">
        <f>IF(Inputs!$D$200=1,Inputs!$D$201*$G$792,0)</f>
      </c>
      <c r="I793" s="20">
        <f>IF(Inputs!$D$200=1,Inputs!$D$201*$H$792,0)</f>
      </c>
      <c r="J793" s="20">
        <f>IF(Inputs!$D$200=1,Inputs!$D$201*$I$792,0)</f>
      </c>
    </row>
    <row r="794" spans="2:10" x14ac:dyDescent="0.25">
      <c r="B794" s="9" t="s">
        <v>1699</v>
      </c>
      <c r="C794" s="2" t="s">
        <v>14</v>
      </c>
      <c r="E794" s="34">
        <f>$E$783+$E$777-$E$778-$E$791-$E$793</f>
      </c>
      <c r="F794" s="34">
        <f>$F$783+$F$777-$F$778-$F$791-$F$793</f>
      </c>
      <c r="G794" s="34">
        <f>$G$783+$G$777-$G$778-$G$791-$G$793</f>
      </c>
      <c r="H794" s="34">
        <f>$H$783+$H$777-$H$778-$H$791-$H$793</f>
      </c>
      <c r="I794" s="34">
        <f>$I$783+$I$777-$I$778-$I$791-$I$793</f>
      </c>
      <c r="J794" s="34">
        <f>$J$783+$J$777-$J$778-$J$791-$J$793</f>
      </c>
    </row>
    <row r="795" spans="2:9" x14ac:dyDescent="0.25">
      <c r="B795" s="2" t="s">
        <v>1700</v>
      </c>
      <c r="C795" s="2" t="s">
        <v>14</v>
      </c>
      <c r="E795" s="20">
        <f>$E$794*DCF!$D$10*(1+WACC!$D$54)^(-DCF!$D$12)</f>
      </c>
      <c r="F795" s="20">
        <f>$F$794*DCF!$E$10*(1+WACC!$D$54)^(-DCF!$E$12)</f>
      </c>
      <c r="G795" s="20">
        <f>$G$794*DCF!$F$10*(1+WACC!$D$54)^(-DCF!$F$12)</f>
      </c>
      <c r="H795" s="20">
        <f>$H$794*DCF!$G$10*(1+WACC!$D$54)^(-DCF!$G$12)</f>
      </c>
      <c r="I795" s="20">
        <f>$I$794*DCF!$H$10*(1+WACC!$D$54)^(-DCF!$H$12)</f>
      </c>
    </row>
    <row r="796" spans="2:4" x14ac:dyDescent="0.25">
      <c r="B796" s="2" t="s">
        <v>1701</v>
      </c>
      <c r="C796" s="2" t="s">
        <v>14</v>
      </c>
      <c r="D796" s="20">
        <f>SUM($E$795:$I$795)</f>
      </c>
    </row>
    <row r="797" spans="2:4" x14ac:dyDescent="0.25">
      <c r="B797" s="2" t="s">
        <v>1702</v>
      </c>
      <c r="C797" s="2" t="s">
        <v>14</v>
      </c>
      <c r="D797" s="20">
        <f>IF(Inputs!$D$171="gordon",IF(Inputs!$D$172&lt;WACC!$D$54,$J$794/(WACC!$D$54-Inputs!$D$172),"n/a"),$I$773*Inputs!$D$173)</f>
      </c>
    </row>
    <row r="798" spans="2:4" x14ac:dyDescent="0.25">
      <c r="B798" s="2" t="s">
        <v>1703</v>
      </c>
      <c r="C798" s="2" t="s">
        <v>14</v>
      </c>
      <c r="D798" s="33">
        <f>IFERROR($D$796+$D$797*(1+WACC!$D$54)^(-DCF!$D$21),"n/a")</f>
      </c>
    </row>
    <row r="799" spans="2:4" x14ac:dyDescent="0.25">
      <c r="B799" s="2" t="s">
        <v>1704</v>
      </c>
      <c r="C799" s="2" t="s">
        <v>14</v>
      </c>
      <c r="D799" s="20">
        <f>IFERROR($D$798+DCF!$D$51,"n/a")</f>
      </c>
    </row>
    <row r="800" spans="2:4" x14ac:dyDescent="0.25">
      <c r="B800" s="9" t="s">
        <v>1705</v>
      </c>
      <c r="C800" s="2" t="s">
        <v>14</v>
      </c>
      <c r="D800" s="40">
        <f>IFERROR($D$799/Inputs!$D$15,"n/a")</f>
      </c>
    </row>
    <row r="802" spans="2:5" x14ac:dyDescent="0.25">
      <c r="B802" s="2" t="s">
        <v>1706</v>
      </c>
      <c r="C802" s="2" t="s">
        <v>326</v>
      </c>
      <c r="D802" s="15">
        <f>Inputs!$H$237*Inputs!$D$233</f>
      </c>
      <c r="E802" s="15">
        <f>Inputs!$F$237*Inputs!$D$234</f>
      </c>
    </row>
    <row r="803" spans="2:10" x14ac:dyDescent="0.25">
      <c r="B803" s="9" t="s">
        <v>1707</v>
      </c>
      <c r="C803" s="2" t="s">
        <v>14</v>
      </c>
      <c r="D803" s="35">
        <f>Inputs!$E$23</f>
      </c>
      <c r="E803" s="35">
        <f>$D$803*(1+(Inputs!$D$182+$D$802))</f>
      </c>
      <c r="F803" s="35">
        <f>$E$803*(1+(Inputs!$E$182+$D$802))</f>
      </c>
      <c r="G803" s="35">
        <f>$F$803*(1+(Inputs!$F$182+$D$802))</f>
      </c>
      <c r="H803" s="35">
        <f>$G$803*(1+(Inputs!$G$182+$D$802))</f>
      </c>
      <c r="I803" s="35">
        <f>$H$803*(1+(Inputs!$H$182+$D$802))</f>
      </c>
      <c r="J803" s="35">
        <f>$I$803*(1+Inputs!$D$172)</f>
      </c>
    </row>
    <row r="804" spans="2:10" x14ac:dyDescent="0.25">
      <c r="B804" s="2" t="s">
        <v>1708</v>
      </c>
      <c r="C804" s="2" t="s">
        <v>14</v>
      </c>
      <c r="D804" s="20">
        <f>$D$803*((Inputs!$E$26+Inputs!$E$51+Inputs!$E$52)/$D$803)</f>
      </c>
      <c r="E804" s="20">
        <f>$E$803*(Inputs!$D$183+$E$802)</f>
      </c>
      <c r="F804" s="20">
        <f>$F$803*(Inputs!$E$183+$E$802)</f>
      </c>
      <c r="G804" s="20">
        <f>$G$803*(Inputs!$F$183+$E$802)</f>
      </c>
      <c r="H804" s="20">
        <f>$H$803*(Inputs!$G$183+$E$802)</f>
      </c>
      <c r="I804" s="20">
        <f>$I$803*(Inputs!$H$183+$E$802)</f>
      </c>
      <c r="J804" s="20">
        <f>$J$803*(Inputs!$I$183+$E$802)</f>
      </c>
    </row>
    <row r="805" spans="2:10" x14ac:dyDescent="0.25">
      <c r="B805" s="2" t="s">
        <v>1709</v>
      </c>
      <c r="C805" s="2" t="s">
        <v>14</v>
      </c>
      <c r="D805" s="20">
        <f>-(Inputs!$E$29+Inputs!$E$30)</f>
      </c>
      <c r="E805" s="20">
        <f>$E$803*Inputs!$D$184</f>
      </c>
      <c r="F805" s="20">
        <f>$F$803*Inputs!$E$184</f>
      </c>
      <c r="G805" s="20">
        <f>$G$803*Inputs!$F$184</f>
      </c>
      <c r="H805" s="20">
        <f>$H$803*Inputs!$G$184</f>
      </c>
      <c r="I805" s="20">
        <f>$I$803*Inputs!$H$184</f>
      </c>
      <c r="J805" s="20">
        <f>$J$803*Inputs!$I$184</f>
      </c>
    </row>
    <row r="806" spans="2:10" x14ac:dyDescent="0.25">
      <c r="B806" s="2" t="s">
        <v>1710</v>
      </c>
      <c r="C806" s="2" t="s">
        <v>14</v>
      </c>
      <c r="D806" s="20">
        <f>Normalization!$D$13-Inputs!$E$26-Inputs!$E$29-Inputs!$E$30</f>
      </c>
      <c r="E806" s="20">
        <f>$E$803*Inputs!$D$185</f>
      </c>
      <c r="F806" s="20">
        <f>$F$803*Inputs!$E$185</f>
      </c>
      <c r="G806" s="20">
        <f>$G$803*Inputs!$F$185</f>
      </c>
      <c r="H806" s="20">
        <f>$H$803*Inputs!$G$185</f>
      </c>
      <c r="I806" s="20">
        <f>$I$803*Inputs!$H$185</f>
      </c>
      <c r="J806" s="20">
        <f>$J$803*Inputs!$I$185</f>
      </c>
    </row>
    <row r="807" spans="2:10" x14ac:dyDescent="0.25">
      <c r="B807" s="9" t="s">
        <v>1711</v>
      </c>
      <c r="C807" s="2" t="s">
        <v>14</v>
      </c>
      <c r="D807" s="34">
        <f>$D$804-$D$805+$D$806</f>
      </c>
      <c r="E807" s="34">
        <f>$E$804-$E$805+$E$806</f>
      </c>
      <c r="F807" s="34">
        <f>$F$804-$F$805+$F$806</f>
      </c>
      <c r="G807" s="34">
        <f>$G$804-$G$805+$G$806</f>
      </c>
      <c r="H807" s="34">
        <f>$H$804-$H$805+$H$806</f>
      </c>
      <c r="I807" s="34">
        <f>$I$804-$I$805+$I$806</f>
      </c>
      <c r="J807" s="34">
        <f>$J$804-$J$805+$J$806</f>
      </c>
    </row>
    <row r="808" spans="2:10" x14ac:dyDescent="0.25">
      <c r="B808" s="2" t="s">
        <v>1712</v>
      </c>
      <c r="C808" s="2" t="s">
        <v>14</v>
      </c>
      <c r="E808" s="20">
        <f>Inputs!$E$57</f>
      </c>
      <c r="F808" s="20">
        <f>$E$813</f>
      </c>
      <c r="G808" s="20">
        <f>$F$813</f>
      </c>
      <c r="H808" s="20">
        <f>$G$813</f>
      </c>
      <c r="I808" s="20">
        <f>$H$813</f>
      </c>
      <c r="J808" s="20">
        <f>$I$813</f>
      </c>
    </row>
    <row r="809" spans="2:10" x14ac:dyDescent="0.25">
      <c r="B809" s="2" t="s">
        <v>1713</v>
      </c>
      <c r="C809" s="2" t="s">
        <v>14</v>
      </c>
      <c r="D809" s="20">
        <f>Inputs!$E$51</f>
      </c>
      <c r="E809" s="20">
        <f>IF(Inputs!$D$180="ppe_rollforward",Inputs!$D$187*$E$808,$E$803*Inputs!$D$186)</f>
      </c>
      <c r="F809" s="20">
        <f>IF(Inputs!$D$180="ppe_rollforward",Inputs!$E$187*$F$808,$F$803*Inputs!$E$186)</f>
      </c>
      <c r="G809" s="20">
        <f>IF(Inputs!$D$180="ppe_rollforward",Inputs!$F$187*$G$808,$G$803*Inputs!$F$186)</f>
      </c>
      <c r="H809" s="20">
        <f>IF(Inputs!$D$180="ppe_rollforward",Inputs!$G$187*$H$808,$H$803*Inputs!$G$186)</f>
      </c>
      <c r="I809" s="20">
        <f>IF(Inputs!$D$180="ppe_rollforward",Inputs!$H$187*$I$808,$I$803*Inputs!$H$186)</f>
      </c>
      <c r="J809" s="20">
        <f>IF(Inputs!$D$180="ppe_rollforward",Inputs!$I$187*$J$808,$J$803*Inputs!$I$186)</f>
      </c>
    </row>
    <row r="810" spans="2:10" x14ac:dyDescent="0.25">
      <c r="B810" s="2" t="s">
        <v>1714</v>
      </c>
      <c r="C810" s="2" t="s">
        <v>14</v>
      </c>
      <c r="D810" s="20">
        <f>Inputs!$E$52</f>
      </c>
      <c r="E810" s="20">
        <f>IF(Inputs!$D$180="ppe_rollforward",$E$803*Inputs!$D$188,0)</f>
      </c>
      <c r="F810" s="20">
        <f>IF(Inputs!$D$180="ppe_rollforward",$F$803*Inputs!$E$188,0)</f>
      </c>
      <c r="G810" s="20">
        <f>IF(Inputs!$D$180="ppe_rollforward",$G$803*Inputs!$F$188,0)</f>
      </c>
      <c r="H810" s="20">
        <f>IF(Inputs!$D$180="ppe_rollforward",$H$803*Inputs!$G$188,0)</f>
      </c>
      <c r="I810" s="20">
        <f>IF(Inputs!$D$180="ppe_rollforward",$I$803*Inputs!$H$188,0)</f>
      </c>
      <c r="J810" s="20">
        <f>IF(Inputs!$D$180="ppe_rollforward",$J$803*Inputs!$I$188,0)</f>
      </c>
    </row>
    <row r="811" spans="2:10" x14ac:dyDescent="0.25">
      <c r="B811" s="2" t="s">
        <v>1715</v>
      </c>
      <c r="C811" s="2" t="s">
        <v>14</v>
      </c>
      <c r="D811" s="20">
        <f>$D$809+$D$810</f>
      </c>
      <c r="E811" s="20">
        <f>$E$809+$E$810</f>
      </c>
      <c r="F811" s="20">
        <f>$F$809+$F$810</f>
      </c>
      <c r="G811" s="20">
        <f>$G$809+$G$810</f>
      </c>
      <c r="H811" s="20">
        <f>$H$809+$H$810</f>
      </c>
      <c r="I811" s="20">
        <f>$I$809+$I$810</f>
      </c>
      <c r="J811" s="20">
        <f>$J$809+$J$810</f>
      </c>
    </row>
    <row r="812" spans="2:10" x14ac:dyDescent="0.25">
      <c r="B812" s="2" t="s">
        <v>1716</v>
      </c>
      <c r="C812" s="2" t="s">
        <v>14</v>
      </c>
      <c r="D812" s="20">
        <f>-Inputs!$E$111</f>
      </c>
      <c r="E812" s="20">
        <f>IF(Inputs!$D$181="absolute",Inputs!$D$190,$E$803*Inputs!$D$189)</f>
      </c>
      <c r="F812" s="20">
        <f>IF(Inputs!$D$181="absolute",Inputs!$E$190,$F$803*Inputs!$E$189)</f>
      </c>
      <c r="G812" s="20">
        <f>IF(Inputs!$D$181="absolute",Inputs!$F$190,$G$803*Inputs!$F$189)</f>
      </c>
      <c r="H812" s="20">
        <f>IF(Inputs!$D$181="absolute",Inputs!$G$190,$H$803*Inputs!$G$189)</f>
      </c>
      <c r="I812" s="20">
        <f>IF(Inputs!$D$181="absolute",Inputs!$H$190,$I$803*Inputs!$H$189)</f>
      </c>
      <c r="J812" s="20">
        <f>$J$803*Inputs!$I$189</f>
      </c>
    </row>
    <row r="813" spans="2:10" x14ac:dyDescent="0.25">
      <c r="B813" s="2" t="s">
        <v>1717</v>
      </c>
      <c r="C813" s="2" t="s">
        <v>14</v>
      </c>
      <c r="D813" s="20">
        <f>Inputs!$E$57</f>
      </c>
      <c r="E813" s="20">
        <f>$E$808+$E$812-$E$809</f>
      </c>
      <c r="F813" s="20">
        <f>$F$808+$F$812-$F$809</f>
      </c>
      <c r="G813" s="20">
        <f>$G$808+$G$812-$G$809</f>
      </c>
      <c r="H813" s="20">
        <f>$H$808+$H$812-$H$809</f>
      </c>
      <c r="I813" s="20">
        <f>$I$808+$I$812-$I$809</f>
      </c>
      <c r="J813" s="20">
        <f>$J$808+$J$812-$J$809</f>
      </c>
    </row>
    <row r="814" spans="2:10" x14ac:dyDescent="0.25">
      <c r="B814" s="9" t="s">
        <v>1718</v>
      </c>
      <c r="C814" s="2" t="s">
        <v>14</v>
      </c>
      <c r="D814" s="35">
        <f>$D$807-$D$811</f>
      </c>
      <c r="E814" s="35">
        <f>$E$807-$E$811</f>
      </c>
      <c r="F814" s="35">
        <f>$F$807-$F$811</f>
      </c>
      <c r="G814" s="35">
        <f>$G$807-$G$811</f>
      </c>
      <c r="H814" s="35">
        <f>$H$807-$H$811</f>
      </c>
      <c r="I814" s="35">
        <f>$I$807-$I$811</f>
      </c>
      <c r="J814" s="35">
        <f>$J$807-$J$811</f>
      </c>
    </row>
    <row r="815" spans="2:10" x14ac:dyDescent="0.25">
      <c r="B815" s="2" t="s">
        <v>1719</v>
      </c>
      <c r="C815" s="2" t="s">
        <v>54</v>
      </c>
      <c r="D815" s="11">
        <f>Inputs!$D$133</f>
      </c>
      <c r="E815" s="11">
        <f>Inputs!$D$196</f>
      </c>
      <c r="F815" s="11">
        <f>Inputs!$E$196</f>
      </c>
      <c r="G815" s="11">
        <f>Inputs!$F$196</f>
      </c>
      <c r="H815" s="11">
        <f>Inputs!$G$196</f>
      </c>
      <c r="I815" s="11">
        <f>Inputs!$H$196</f>
      </c>
      <c r="J815" s="11">
        <f>Inputs!$I$196</f>
      </c>
    </row>
    <row r="816" spans="2:10" x14ac:dyDescent="0.25">
      <c r="B816" s="2" t="s">
        <v>1720</v>
      </c>
      <c r="C816" s="2" t="s">
        <v>14</v>
      </c>
      <c r="D816" s="20">
        <f>$D$814*$D$815</f>
      </c>
      <c r="E816" s="20">
        <f>$E$814*$E$815</f>
      </c>
      <c r="F816" s="20">
        <f>$F$814*$F$815</f>
      </c>
      <c r="G816" s="20">
        <f>$G$814*$G$815</f>
      </c>
      <c r="H816" s="20">
        <f>$H$814*$H$815</f>
      </c>
      <c r="I816" s="20">
        <f>$I$814*$I$815</f>
      </c>
      <c r="J816" s="20">
        <f>$J$814*$J$815</f>
      </c>
    </row>
    <row r="817" spans="2:10" x14ac:dyDescent="0.25">
      <c r="B817" s="2" t="s">
        <v>1721</v>
      </c>
      <c r="C817" s="2" t="s">
        <v>14</v>
      </c>
      <c r="D817" s="33">
        <f>$D$814-$D$816</f>
      </c>
      <c r="E817" s="33">
        <f>$E$814-$E$816</f>
      </c>
      <c r="F817" s="33">
        <f>$F$814-$F$816</f>
      </c>
      <c r="G817" s="33">
        <f>$G$814-$G$816</f>
      </c>
      <c r="H817" s="33">
        <f>$H$814-$H$816</f>
      </c>
      <c r="I817" s="33">
        <f>$I$814-$I$816</f>
      </c>
      <c r="J817" s="33">
        <f>$J$814-$J$816</f>
      </c>
    </row>
    <row r="818" spans="2:10" x14ac:dyDescent="0.25">
      <c r="B818" s="2" t="s">
        <v>1722</v>
      </c>
      <c r="C818" s="2" t="s">
        <v>14</v>
      </c>
      <c r="D818" s="20">
        <f>$D$803*(1-((Inputs!$E$26+Inputs!$E$51+Inputs!$E$52)/$D$803))</f>
      </c>
      <c r="E818" s="20">
        <f>$E$803*(1-(Inputs!$D$183+$E$802))</f>
      </c>
      <c r="F818" s="20">
        <f>$F$803*(1-(Inputs!$E$183+$E$802))</f>
      </c>
      <c r="G818" s="20">
        <f>$G$803*(1-(Inputs!$F$183+$E$802))</f>
      </c>
      <c r="H818" s="20">
        <f>$H$803*(1-(Inputs!$G$183+$E$802))</f>
      </c>
      <c r="I818" s="20">
        <f>$I$803*(1-(Inputs!$H$183+$E$802))</f>
      </c>
      <c r="J818" s="20">
        <f>$J$803*(1-(Inputs!$I$183+$E$802))</f>
      </c>
    </row>
    <row r="819" spans="2:10" x14ac:dyDescent="0.25">
      <c r="B819" s="2" t="s">
        <v>1723</v>
      </c>
      <c r="C819" s="2" t="s">
        <v>14</v>
      </c>
      <c r="D819" s="20">
        <f>Inputs!$E$67</f>
      </c>
      <c r="E819" s="20">
        <f>$E$803*Inputs!$D$191/Inputs!$D$18</f>
      </c>
      <c r="F819" s="20">
        <f>$F$803*Inputs!$E$191/Inputs!$D$18</f>
      </c>
      <c r="G819" s="20">
        <f>$G$803*Inputs!$F$191/Inputs!$D$18</f>
      </c>
      <c r="H819" s="20">
        <f>$H$803*Inputs!$G$191/Inputs!$D$18</f>
      </c>
      <c r="I819" s="20">
        <f>$I$803*Inputs!$H$191/Inputs!$D$18</f>
      </c>
      <c r="J819" s="20">
        <f>$J$803*Inputs!$I$191/Inputs!$D$18</f>
      </c>
    </row>
    <row r="820" spans="2:10" x14ac:dyDescent="0.25">
      <c r="B820" s="2" t="s">
        <v>1724</v>
      </c>
      <c r="C820" s="2" t="s">
        <v>14</v>
      </c>
      <c r="D820" s="20">
        <f>Inputs!$E$66</f>
      </c>
      <c r="E820" s="20">
        <f>$E$818*Inputs!$D$192/Inputs!$D$18</f>
      </c>
      <c r="F820" s="20">
        <f>$F$818*Inputs!$E$192/Inputs!$D$18</f>
      </c>
      <c r="G820" s="20">
        <f>$G$818*Inputs!$F$192/Inputs!$D$18</f>
      </c>
      <c r="H820" s="20">
        <f>$H$818*Inputs!$G$192/Inputs!$D$18</f>
      </c>
      <c r="I820" s="20">
        <f>$I$818*Inputs!$H$192/Inputs!$D$18</f>
      </c>
      <c r="J820" s="20">
        <f>$J$818*Inputs!$I$192/Inputs!$D$18</f>
      </c>
    </row>
    <row r="821" spans="2:10" x14ac:dyDescent="0.25">
      <c r="B821" s="2" t="s">
        <v>1725</v>
      </c>
      <c r="C821" s="2" t="s">
        <v>14</v>
      </c>
      <c r="D821" s="20">
        <f>Inputs!$E$93</f>
      </c>
      <c r="E821" s="20">
        <f>$E$818*Inputs!$D$193/Inputs!$D$18</f>
      </c>
      <c r="F821" s="20">
        <f>$F$818*Inputs!$E$193/Inputs!$D$18</f>
      </c>
      <c r="G821" s="20">
        <f>$G$818*Inputs!$F$193/Inputs!$D$18</f>
      </c>
      <c r="H821" s="20">
        <f>$H$818*Inputs!$G$193/Inputs!$D$18</f>
      </c>
      <c r="I821" s="20">
        <f>$I$818*Inputs!$H$193/Inputs!$D$18</f>
      </c>
      <c r="J821" s="20">
        <f>$J$818*Inputs!$I$193/Inputs!$D$18</f>
      </c>
    </row>
    <row r="822" spans="2:10" x14ac:dyDescent="0.25">
      <c r="B822" s="2" t="s">
        <v>1726</v>
      </c>
      <c r="C822" s="2" t="s">
        <v>14</v>
      </c>
      <c r="D822" s="20">
        <f>Inputs!$E$70+Inputs!$E$72+Inputs!$E$71</f>
      </c>
      <c r="E822" s="20">
        <f>$E$803*Inputs!$D$194</f>
      </c>
      <c r="F822" s="20">
        <f>$F$803*Inputs!$E$194</f>
      </c>
      <c r="G822" s="20">
        <f>$G$803*Inputs!$F$194</f>
      </c>
      <c r="H822" s="20">
        <f>$H$803*Inputs!$G$194</f>
      </c>
      <c r="I822" s="20">
        <f>$I$803*Inputs!$H$194</f>
      </c>
      <c r="J822" s="20">
        <f>$J$803*Inputs!$I$194</f>
      </c>
    </row>
    <row r="823" spans="2:10" x14ac:dyDescent="0.25">
      <c r="B823" s="2" t="s">
        <v>1727</v>
      </c>
      <c r="C823" s="2" t="s">
        <v>14</v>
      </c>
      <c r="D823" s="20">
        <f>Inputs!$E$94+Inputs!$E$95+Inputs!$E$97+Inputs!$E$98+Inputs!$E$99</f>
      </c>
      <c r="E823" s="20">
        <f>$E$803*Inputs!$D$195</f>
      </c>
      <c r="F823" s="20">
        <f>$F$803*Inputs!$E$195</f>
      </c>
      <c r="G823" s="20">
        <f>$G$803*Inputs!$F$195</f>
      </c>
      <c r="H823" s="20">
        <f>$H$803*Inputs!$G$195</f>
      </c>
      <c r="I823" s="20">
        <f>$I$803*Inputs!$H$195</f>
      </c>
      <c r="J823" s="20">
        <f>$J$803*Inputs!$I$195</f>
      </c>
    </row>
    <row r="824" spans="2:10" x14ac:dyDescent="0.25">
      <c r="B824" s="2" t="s">
        <v>1728</v>
      </c>
      <c r="C824" s="2" t="s">
        <v>14</v>
      </c>
      <c r="D824" s="33">
        <f>$D$819+$D$820+$D$822-$D$821-$D$823</f>
      </c>
      <c r="E824" s="33">
        <f>$E$819+$E$820+$E$822-$E$821-$E$823</f>
      </c>
      <c r="F824" s="33">
        <f>$F$819+$F$820+$F$822-$F$821-$F$823</f>
      </c>
      <c r="G824" s="33">
        <f>$G$819+$G$820+$G$822-$G$821-$G$823</f>
      </c>
      <c r="H824" s="33">
        <f>$H$819+$H$820+$H$822-$H$821-$H$823</f>
      </c>
      <c r="I824" s="33">
        <f>$I$819+$I$820+$I$822-$I$821-$I$823</f>
      </c>
      <c r="J824" s="33">
        <f>$J$819+$J$820+$J$822-$J$821-$J$823</f>
      </c>
    </row>
    <row r="825" spans="2:10" x14ac:dyDescent="0.25">
      <c r="B825" s="2" t="s">
        <v>1729</v>
      </c>
      <c r="C825" s="2" t="s">
        <v>14</v>
      </c>
      <c r="E825" s="20">
        <f>$E$824-$D$824</f>
      </c>
      <c r="F825" s="20">
        <f>$F$824-$E$824</f>
      </c>
      <c r="G825" s="20">
        <f>$G$824-$F$824</f>
      </c>
      <c r="H825" s="20">
        <f>$H$824-$G$824</f>
      </c>
      <c r="I825" s="20">
        <f>$I$824-$H$824</f>
      </c>
      <c r="J825" s="20">
        <f>$J$824-$I$824</f>
      </c>
    </row>
    <row r="826" spans="2:10" x14ac:dyDescent="0.25">
      <c r="B826" s="2" t="s">
        <v>1730</v>
      </c>
      <c r="C826" s="2" t="s">
        <v>14</v>
      </c>
      <c r="D826" s="20">
        <f>Inputs!$E$49</f>
      </c>
      <c r="E826" s="20">
        <f>$E$817+Inputs!$D$202*(1-$E$815)</f>
      </c>
      <c r="F826" s="20">
        <f>$F$817+Inputs!$D$202*(1-$F$815)</f>
      </c>
      <c r="G826" s="20">
        <f>$G$817+Inputs!$D$202*(1-$G$815)</f>
      </c>
      <c r="H826" s="20">
        <f>$H$817+Inputs!$D$202*(1-$H$815)</f>
      </c>
      <c r="I826" s="20">
        <f>$I$817+Inputs!$D$202*(1-$I$815)</f>
      </c>
      <c r="J826" s="20">
        <f>$J$817+Inputs!$D$202*(1-$J$815)</f>
      </c>
    </row>
    <row r="827" spans="2:10" x14ac:dyDescent="0.25">
      <c r="B827" s="2" t="s">
        <v>1731</v>
      </c>
      <c r="C827" s="2" t="s">
        <v>14</v>
      </c>
      <c r="E827" s="20">
        <f>IF(Inputs!$D$200=1,Inputs!$D$201*$D$826,0)</f>
      </c>
      <c r="F827" s="20">
        <f>IF(Inputs!$D$200=1,Inputs!$D$201*$E$826,0)</f>
      </c>
      <c r="G827" s="20">
        <f>IF(Inputs!$D$200=1,Inputs!$D$201*$F$826,0)</f>
      </c>
      <c r="H827" s="20">
        <f>IF(Inputs!$D$200=1,Inputs!$D$201*$G$826,0)</f>
      </c>
      <c r="I827" s="20">
        <f>IF(Inputs!$D$200=1,Inputs!$D$201*$H$826,0)</f>
      </c>
      <c r="J827" s="20">
        <f>IF(Inputs!$D$200=1,Inputs!$D$201*$I$826,0)</f>
      </c>
    </row>
    <row r="828" spans="2:10" x14ac:dyDescent="0.25">
      <c r="B828" s="9" t="s">
        <v>1732</v>
      </c>
      <c r="C828" s="2" t="s">
        <v>14</v>
      </c>
      <c r="E828" s="34">
        <f>$E$817+$E$811-$E$812-$E$825-$E$827</f>
      </c>
      <c r="F828" s="34">
        <f>$F$817+$F$811-$F$812-$F$825-$F$827</f>
      </c>
      <c r="G828" s="34">
        <f>$G$817+$G$811-$G$812-$G$825-$G$827</f>
      </c>
      <c r="H828" s="34">
        <f>$H$817+$H$811-$H$812-$H$825-$H$827</f>
      </c>
      <c r="I828" s="34">
        <f>$I$817+$I$811-$I$812-$I$825-$I$827</f>
      </c>
      <c r="J828" s="34">
        <f>$J$817+$J$811-$J$812-$J$825-$J$827</f>
      </c>
    </row>
    <row r="829" spans="2:9" x14ac:dyDescent="0.25">
      <c r="B829" s="2" t="s">
        <v>1733</v>
      </c>
      <c r="C829" s="2" t="s">
        <v>14</v>
      </c>
      <c r="E829" s="20">
        <f>$E$828*DCF!$D$10*(1+WACC!$D$54)^(-DCF!$D$12)</f>
      </c>
      <c r="F829" s="20">
        <f>$F$828*DCF!$E$10*(1+WACC!$D$54)^(-DCF!$E$12)</f>
      </c>
      <c r="G829" s="20">
        <f>$G$828*DCF!$F$10*(1+WACC!$D$54)^(-DCF!$F$12)</f>
      </c>
      <c r="H829" s="20">
        <f>$H$828*DCF!$G$10*(1+WACC!$D$54)^(-DCF!$G$12)</f>
      </c>
      <c r="I829" s="20">
        <f>$I$828*DCF!$H$10*(1+WACC!$D$54)^(-DCF!$H$12)</f>
      </c>
    </row>
    <row r="830" spans="2:4" x14ac:dyDescent="0.25">
      <c r="B830" s="2" t="s">
        <v>1734</v>
      </c>
      <c r="C830" s="2" t="s">
        <v>14</v>
      </c>
      <c r="D830" s="20">
        <f>SUM($E$829:$I$829)</f>
      </c>
    </row>
    <row r="831" spans="2:4" x14ac:dyDescent="0.25">
      <c r="B831" s="2" t="s">
        <v>1735</v>
      </c>
      <c r="C831" s="2" t="s">
        <v>14</v>
      </c>
      <c r="D831" s="20">
        <f>IF(Inputs!$D$171="gordon",IF(Inputs!$D$172&lt;WACC!$D$54,$J$828/(WACC!$D$54-Inputs!$D$172),"n/a"),$I$807*Inputs!$D$173)</f>
      </c>
    </row>
    <row r="832" spans="2:4" x14ac:dyDescent="0.25">
      <c r="B832" s="2" t="s">
        <v>1736</v>
      </c>
      <c r="C832" s="2" t="s">
        <v>14</v>
      </c>
      <c r="D832" s="33">
        <f>IFERROR($D$830+$D$831*(1+WACC!$D$54)^(-DCF!$D$21),"n/a")</f>
      </c>
    </row>
    <row r="833" spans="2:4" x14ac:dyDescent="0.25">
      <c r="B833" s="2" t="s">
        <v>1737</v>
      </c>
      <c r="C833" s="2" t="s">
        <v>14</v>
      </c>
      <c r="D833" s="20">
        <f>IFERROR($D$832+DCF!$D$51,"n/a")</f>
      </c>
    </row>
    <row r="834" spans="2:4" x14ac:dyDescent="0.25">
      <c r="B834" s="9" t="s">
        <v>1738</v>
      </c>
      <c r="C834" s="2" t="s">
        <v>14</v>
      </c>
      <c r="D834" s="40">
        <f>IFERROR($D$833/Inputs!$D$15,"n/a")</f>
      </c>
    </row>
    <row r="836" spans="2:5" x14ac:dyDescent="0.25">
      <c r="B836" s="2" t="s">
        <v>1739</v>
      </c>
      <c r="C836" s="2" t="s">
        <v>326</v>
      </c>
      <c r="D836" s="15">
        <f>Inputs!$H$237*Inputs!$D$233</f>
      </c>
      <c r="E836" s="15">
        <f>Inputs!$G$237*Inputs!$D$234</f>
      </c>
    </row>
    <row r="837" spans="2:10" x14ac:dyDescent="0.25">
      <c r="B837" s="9" t="s">
        <v>1740</v>
      </c>
      <c r="C837" s="2" t="s">
        <v>14</v>
      </c>
      <c r="D837" s="35">
        <f>Inputs!$E$23</f>
      </c>
      <c r="E837" s="35">
        <f>$D$837*(1+(Inputs!$D$182+$D$836))</f>
      </c>
      <c r="F837" s="35">
        <f>$E$837*(1+(Inputs!$E$182+$D$836))</f>
      </c>
      <c r="G837" s="35">
        <f>$F$837*(1+(Inputs!$F$182+$D$836))</f>
      </c>
      <c r="H837" s="35">
        <f>$G$837*(1+(Inputs!$G$182+$D$836))</f>
      </c>
      <c r="I837" s="35">
        <f>$H$837*(1+(Inputs!$H$182+$D$836))</f>
      </c>
      <c r="J837" s="35">
        <f>$I$837*(1+Inputs!$D$172)</f>
      </c>
    </row>
    <row r="838" spans="2:10" x14ac:dyDescent="0.25">
      <c r="B838" s="2" t="s">
        <v>1741</v>
      </c>
      <c r="C838" s="2" t="s">
        <v>14</v>
      </c>
      <c r="D838" s="20">
        <f>$D$837*((Inputs!$E$26+Inputs!$E$51+Inputs!$E$52)/$D$837)</f>
      </c>
      <c r="E838" s="20">
        <f>$E$837*(Inputs!$D$183+$E$836)</f>
      </c>
      <c r="F838" s="20">
        <f>$F$837*(Inputs!$E$183+$E$836)</f>
      </c>
      <c r="G838" s="20">
        <f>$G$837*(Inputs!$F$183+$E$836)</f>
      </c>
      <c r="H838" s="20">
        <f>$H$837*(Inputs!$G$183+$E$836)</f>
      </c>
      <c r="I838" s="20">
        <f>$I$837*(Inputs!$H$183+$E$836)</f>
      </c>
      <c r="J838" s="20">
        <f>$J$837*(Inputs!$I$183+$E$836)</f>
      </c>
    </row>
    <row r="839" spans="2:10" x14ac:dyDescent="0.25">
      <c r="B839" s="2" t="s">
        <v>1742</v>
      </c>
      <c r="C839" s="2" t="s">
        <v>14</v>
      </c>
      <c r="D839" s="20">
        <f>-(Inputs!$E$29+Inputs!$E$30)</f>
      </c>
      <c r="E839" s="20">
        <f>$E$837*Inputs!$D$184</f>
      </c>
      <c r="F839" s="20">
        <f>$F$837*Inputs!$E$184</f>
      </c>
      <c r="G839" s="20">
        <f>$G$837*Inputs!$F$184</f>
      </c>
      <c r="H839" s="20">
        <f>$H$837*Inputs!$G$184</f>
      </c>
      <c r="I839" s="20">
        <f>$I$837*Inputs!$H$184</f>
      </c>
      <c r="J839" s="20">
        <f>$J$837*Inputs!$I$184</f>
      </c>
    </row>
    <row r="840" spans="2:10" x14ac:dyDescent="0.25">
      <c r="B840" s="2" t="s">
        <v>1743</v>
      </c>
      <c r="C840" s="2" t="s">
        <v>14</v>
      </c>
      <c r="D840" s="20">
        <f>Normalization!$D$13-Inputs!$E$26-Inputs!$E$29-Inputs!$E$30</f>
      </c>
      <c r="E840" s="20">
        <f>$E$837*Inputs!$D$185</f>
      </c>
      <c r="F840" s="20">
        <f>$F$837*Inputs!$E$185</f>
      </c>
      <c r="G840" s="20">
        <f>$G$837*Inputs!$F$185</f>
      </c>
      <c r="H840" s="20">
        <f>$H$837*Inputs!$G$185</f>
      </c>
      <c r="I840" s="20">
        <f>$I$837*Inputs!$H$185</f>
      </c>
      <c r="J840" s="20">
        <f>$J$837*Inputs!$I$185</f>
      </c>
    </row>
    <row r="841" spans="2:10" x14ac:dyDescent="0.25">
      <c r="B841" s="9" t="s">
        <v>1744</v>
      </c>
      <c r="C841" s="2" t="s">
        <v>14</v>
      </c>
      <c r="D841" s="34">
        <f>$D$838-$D$839+$D$840</f>
      </c>
      <c r="E841" s="34">
        <f>$E$838-$E$839+$E$840</f>
      </c>
      <c r="F841" s="34">
        <f>$F$838-$F$839+$F$840</f>
      </c>
      <c r="G841" s="34">
        <f>$G$838-$G$839+$G$840</f>
      </c>
      <c r="H841" s="34">
        <f>$H$838-$H$839+$H$840</f>
      </c>
      <c r="I841" s="34">
        <f>$I$838-$I$839+$I$840</f>
      </c>
      <c r="J841" s="34">
        <f>$J$838-$J$839+$J$840</f>
      </c>
    </row>
    <row r="842" spans="2:10" x14ac:dyDescent="0.25">
      <c r="B842" s="2" t="s">
        <v>1745</v>
      </c>
      <c r="C842" s="2" t="s">
        <v>14</v>
      </c>
      <c r="E842" s="20">
        <f>Inputs!$E$57</f>
      </c>
      <c r="F842" s="20">
        <f>$E$847</f>
      </c>
      <c r="G842" s="20">
        <f>$F$847</f>
      </c>
      <c r="H842" s="20">
        <f>$G$847</f>
      </c>
      <c r="I842" s="20">
        <f>$H$847</f>
      </c>
      <c r="J842" s="20">
        <f>$I$847</f>
      </c>
    </row>
    <row r="843" spans="2:10" x14ac:dyDescent="0.25">
      <c r="B843" s="2" t="s">
        <v>1746</v>
      </c>
      <c r="C843" s="2" t="s">
        <v>14</v>
      </c>
      <c r="D843" s="20">
        <f>Inputs!$E$51</f>
      </c>
      <c r="E843" s="20">
        <f>IF(Inputs!$D$180="ppe_rollforward",Inputs!$D$187*$E$842,$E$837*Inputs!$D$186)</f>
      </c>
      <c r="F843" s="20">
        <f>IF(Inputs!$D$180="ppe_rollforward",Inputs!$E$187*$F$842,$F$837*Inputs!$E$186)</f>
      </c>
      <c r="G843" s="20">
        <f>IF(Inputs!$D$180="ppe_rollforward",Inputs!$F$187*$G$842,$G$837*Inputs!$F$186)</f>
      </c>
      <c r="H843" s="20">
        <f>IF(Inputs!$D$180="ppe_rollforward",Inputs!$G$187*$H$842,$H$837*Inputs!$G$186)</f>
      </c>
      <c r="I843" s="20">
        <f>IF(Inputs!$D$180="ppe_rollforward",Inputs!$H$187*$I$842,$I$837*Inputs!$H$186)</f>
      </c>
      <c r="J843" s="20">
        <f>IF(Inputs!$D$180="ppe_rollforward",Inputs!$I$187*$J$842,$J$837*Inputs!$I$186)</f>
      </c>
    </row>
    <row r="844" spans="2:10" x14ac:dyDescent="0.25">
      <c r="B844" s="2" t="s">
        <v>1747</v>
      </c>
      <c r="C844" s="2" t="s">
        <v>14</v>
      </c>
      <c r="D844" s="20">
        <f>Inputs!$E$52</f>
      </c>
      <c r="E844" s="20">
        <f>IF(Inputs!$D$180="ppe_rollforward",$E$837*Inputs!$D$188,0)</f>
      </c>
      <c r="F844" s="20">
        <f>IF(Inputs!$D$180="ppe_rollforward",$F$837*Inputs!$E$188,0)</f>
      </c>
      <c r="G844" s="20">
        <f>IF(Inputs!$D$180="ppe_rollforward",$G$837*Inputs!$F$188,0)</f>
      </c>
      <c r="H844" s="20">
        <f>IF(Inputs!$D$180="ppe_rollforward",$H$837*Inputs!$G$188,0)</f>
      </c>
      <c r="I844" s="20">
        <f>IF(Inputs!$D$180="ppe_rollforward",$I$837*Inputs!$H$188,0)</f>
      </c>
      <c r="J844" s="20">
        <f>IF(Inputs!$D$180="ppe_rollforward",$J$837*Inputs!$I$188,0)</f>
      </c>
    </row>
    <row r="845" spans="2:10" x14ac:dyDescent="0.25">
      <c r="B845" s="2" t="s">
        <v>1748</v>
      </c>
      <c r="C845" s="2" t="s">
        <v>14</v>
      </c>
      <c r="D845" s="20">
        <f>$D$843+$D$844</f>
      </c>
      <c r="E845" s="20">
        <f>$E$843+$E$844</f>
      </c>
      <c r="F845" s="20">
        <f>$F$843+$F$844</f>
      </c>
      <c r="G845" s="20">
        <f>$G$843+$G$844</f>
      </c>
      <c r="H845" s="20">
        <f>$H$843+$H$844</f>
      </c>
      <c r="I845" s="20">
        <f>$I$843+$I$844</f>
      </c>
      <c r="J845" s="20">
        <f>$J$843+$J$844</f>
      </c>
    </row>
    <row r="846" spans="2:10" x14ac:dyDescent="0.25">
      <c r="B846" s="2" t="s">
        <v>1749</v>
      </c>
      <c r="C846" s="2" t="s">
        <v>14</v>
      </c>
      <c r="D846" s="20">
        <f>-Inputs!$E$111</f>
      </c>
      <c r="E846" s="20">
        <f>IF(Inputs!$D$181="absolute",Inputs!$D$190,$E$837*Inputs!$D$189)</f>
      </c>
      <c r="F846" s="20">
        <f>IF(Inputs!$D$181="absolute",Inputs!$E$190,$F$837*Inputs!$E$189)</f>
      </c>
      <c r="G846" s="20">
        <f>IF(Inputs!$D$181="absolute",Inputs!$F$190,$G$837*Inputs!$F$189)</f>
      </c>
      <c r="H846" s="20">
        <f>IF(Inputs!$D$181="absolute",Inputs!$G$190,$H$837*Inputs!$G$189)</f>
      </c>
      <c r="I846" s="20">
        <f>IF(Inputs!$D$181="absolute",Inputs!$H$190,$I$837*Inputs!$H$189)</f>
      </c>
      <c r="J846" s="20">
        <f>$J$837*Inputs!$I$189</f>
      </c>
    </row>
    <row r="847" spans="2:10" x14ac:dyDescent="0.25">
      <c r="B847" s="2" t="s">
        <v>1750</v>
      </c>
      <c r="C847" s="2" t="s">
        <v>14</v>
      </c>
      <c r="D847" s="20">
        <f>Inputs!$E$57</f>
      </c>
      <c r="E847" s="20">
        <f>$E$842+$E$846-$E$843</f>
      </c>
      <c r="F847" s="20">
        <f>$F$842+$F$846-$F$843</f>
      </c>
      <c r="G847" s="20">
        <f>$G$842+$G$846-$G$843</f>
      </c>
      <c r="H847" s="20">
        <f>$H$842+$H$846-$H$843</f>
      </c>
      <c r="I847" s="20">
        <f>$I$842+$I$846-$I$843</f>
      </c>
      <c r="J847" s="20">
        <f>$J$842+$J$846-$J$843</f>
      </c>
    </row>
    <row r="848" spans="2:10" x14ac:dyDescent="0.25">
      <c r="B848" s="9" t="s">
        <v>1751</v>
      </c>
      <c r="C848" s="2" t="s">
        <v>14</v>
      </c>
      <c r="D848" s="35">
        <f>$D$841-$D$845</f>
      </c>
      <c r="E848" s="35">
        <f>$E$841-$E$845</f>
      </c>
      <c r="F848" s="35">
        <f>$F$841-$F$845</f>
      </c>
      <c r="G848" s="35">
        <f>$G$841-$G$845</f>
      </c>
      <c r="H848" s="35">
        <f>$H$841-$H$845</f>
      </c>
      <c r="I848" s="35">
        <f>$I$841-$I$845</f>
      </c>
      <c r="J848" s="35">
        <f>$J$841-$J$845</f>
      </c>
    </row>
    <row r="849" spans="2:10" x14ac:dyDescent="0.25">
      <c r="B849" s="2" t="s">
        <v>1752</v>
      </c>
      <c r="C849" s="2" t="s">
        <v>54</v>
      </c>
      <c r="D849" s="11">
        <f>Inputs!$D$133</f>
      </c>
      <c r="E849" s="11">
        <f>Inputs!$D$196</f>
      </c>
      <c r="F849" s="11">
        <f>Inputs!$E$196</f>
      </c>
      <c r="G849" s="11">
        <f>Inputs!$F$196</f>
      </c>
      <c r="H849" s="11">
        <f>Inputs!$G$196</f>
      </c>
      <c r="I849" s="11">
        <f>Inputs!$H$196</f>
      </c>
      <c r="J849" s="11">
        <f>Inputs!$I$196</f>
      </c>
    </row>
    <row r="850" spans="2:10" x14ac:dyDescent="0.25">
      <c r="B850" s="2" t="s">
        <v>1753</v>
      </c>
      <c r="C850" s="2" t="s">
        <v>14</v>
      </c>
      <c r="D850" s="20">
        <f>$D$848*$D$849</f>
      </c>
      <c r="E850" s="20">
        <f>$E$848*$E$849</f>
      </c>
      <c r="F850" s="20">
        <f>$F$848*$F$849</f>
      </c>
      <c r="G850" s="20">
        <f>$G$848*$G$849</f>
      </c>
      <c r="H850" s="20">
        <f>$H$848*$H$849</f>
      </c>
      <c r="I850" s="20">
        <f>$I$848*$I$849</f>
      </c>
      <c r="J850" s="20">
        <f>$J$848*$J$849</f>
      </c>
    </row>
    <row r="851" spans="2:10" x14ac:dyDescent="0.25">
      <c r="B851" s="2" t="s">
        <v>1754</v>
      </c>
      <c r="C851" s="2" t="s">
        <v>14</v>
      </c>
      <c r="D851" s="33">
        <f>$D$848-$D$850</f>
      </c>
      <c r="E851" s="33">
        <f>$E$848-$E$850</f>
      </c>
      <c r="F851" s="33">
        <f>$F$848-$F$850</f>
      </c>
      <c r="G851" s="33">
        <f>$G$848-$G$850</f>
      </c>
      <c r="H851" s="33">
        <f>$H$848-$H$850</f>
      </c>
      <c r="I851" s="33">
        <f>$I$848-$I$850</f>
      </c>
      <c r="J851" s="33">
        <f>$J$848-$J$850</f>
      </c>
    </row>
    <row r="852" spans="2:10" x14ac:dyDescent="0.25">
      <c r="B852" s="2" t="s">
        <v>1755</v>
      </c>
      <c r="C852" s="2" t="s">
        <v>14</v>
      </c>
      <c r="D852" s="20">
        <f>$D$837*(1-((Inputs!$E$26+Inputs!$E$51+Inputs!$E$52)/$D$837))</f>
      </c>
      <c r="E852" s="20">
        <f>$E$837*(1-(Inputs!$D$183+$E$836))</f>
      </c>
      <c r="F852" s="20">
        <f>$F$837*(1-(Inputs!$E$183+$E$836))</f>
      </c>
      <c r="G852" s="20">
        <f>$G$837*(1-(Inputs!$F$183+$E$836))</f>
      </c>
      <c r="H852" s="20">
        <f>$H$837*(1-(Inputs!$G$183+$E$836))</f>
      </c>
      <c r="I852" s="20">
        <f>$I$837*(1-(Inputs!$H$183+$E$836))</f>
      </c>
      <c r="J852" s="20">
        <f>$J$837*(1-(Inputs!$I$183+$E$836))</f>
      </c>
    </row>
    <row r="853" spans="2:10" x14ac:dyDescent="0.25">
      <c r="B853" s="2" t="s">
        <v>1756</v>
      </c>
      <c r="C853" s="2" t="s">
        <v>14</v>
      </c>
      <c r="D853" s="20">
        <f>Inputs!$E$67</f>
      </c>
      <c r="E853" s="20">
        <f>$E$837*Inputs!$D$191/Inputs!$D$18</f>
      </c>
      <c r="F853" s="20">
        <f>$F$837*Inputs!$E$191/Inputs!$D$18</f>
      </c>
      <c r="G853" s="20">
        <f>$G$837*Inputs!$F$191/Inputs!$D$18</f>
      </c>
      <c r="H853" s="20">
        <f>$H$837*Inputs!$G$191/Inputs!$D$18</f>
      </c>
      <c r="I853" s="20">
        <f>$I$837*Inputs!$H$191/Inputs!$D$18</f>
      </c>
      <c r="J853" s="20">
        <f>$J$837*Inputs!$I$191/Inputs!$D$18</f>
      </c>
    </row>
    <row r="854" spans="2:10" x14ac:dyDescent="0.25">
      <c r="B854" s="2" t="s">
        <v>1757</v>
      </c>
      <c r="C854" s="2" t="s">
        <v>14</v>
      </c>
      <c r="D854" s="20">
        <f>Inputs!$E$66</f>
      </c>
      <c r="E854" s="20">
        <f>$E$852*Inputs!$D$192/Inputs!$D$18</f>
      </c>
      <c r="F854" s="20">
        <f>$F$852*Inputs!$E$192/Inputs!$D$18</f>
      </c>
      <c r="G854" s="20">
        <f>$G$852*Inputs!$F$192/Inputs!$D$18</f>
      </c>
      <c r="H854" s="20">
        <f>$H$852*Inputs!$G$192/Inputs!$D$18</f>
      </c>
      <c r="I854" s="20">
        <f>$I$852*Inputs!$H$192/Inputs!$D$18</f>
      </c>
      <c r="J854" s="20">
        <f>$J$852*Inputs!$I$192/Inputs!$D$18</f>
      </c>
    </row>
    <row r="855" spans="2:10" x14ac:dyDescent="0.25">
      <c r="B855" s="2" t="s">
        <v>1758</v>
      </c>
      <c r="C855" s="2" t="s">
        <v>14</v>
      </c>
      <c r="D855" s="20">
        <f>Inputs!$E$93</f>
      </c>
      <c r="E855" s="20">
        <f>$E$852*Inputs!$D$193/Inputs!$D$18</f>
      </c>
      <c r="F855" s="20">
        <f>$F$852*Inputs!$E$193/Inputs!$D$18</f>
      </c>
      <c r="G855" s="20">
        <f>$G$852*Inputs!$F$193/Inputs!$D$18</f>
      </c>
      <c r="H855" s="20">
        <f>$H$852*Inputs!$G$193/Inputs!$D$18</f>
      </c>
      <c r="I855" s="20">
        <f>$I$852*Inputs!$H$193/Inputs!$D$18</f>
      </c>
      <c r="J855" s="20">
        <f>$J$852*Inputs!$I$193/Inputs!$D$18</f>
      </c>
    </row>
    <row r="856" spans="2:10" x14ac:dyDescent="0.25">
      <c r="B856" s="2" t="s">
        <v>1759</v>
      </c>
      <c r="C856" s="2" t="s">
        <v>14</v>
      </c>
      <c r="D856" s="20">
        <f>Inputs!$E$70+Inputs!$E$72+Inputs!$E$71</f>
      </c>
      <c r="E856" s="20">
        <f>$E$837*Inputs!$D$194</f>
      </c>
      <c r="F856" s="20">
        <f>$F$837*Inputs!$E$194</f>
      </c>
      <c r="G856" s="20">
        <f>$G$837*Inputs!$F$194</f>
      </c>
      <c r="H856" s="20">
        <f>$H$837*Inputs!$G$194</f>
      </c>
      <c r="I856" s="20">
        <f>$I$837*Inputs!$H$194</f>
      </c>
      <c r="J856" s="20">
        <f>$J$837*Inputs!$I$194</f>
      </c>
    </row>
    <row r="857" spans="2:10" x14ac:dyDescent="0.25">
      <c r="B857" s="2" t="s">
        <v>1760</v>
      </c>
      <c r="C857" s="2" t="s">
        <v>14</v>
      </c>
      <c r="D857" s="20">
        <f>Inputs!$E$94+Inputs!$E$95+Inputs!$E$97+Inputs!$E$98+Inputs!$E$99</f>
      </c>
      <c r="E857" s="20">
        <f>$E$837*Inputs!$D$195</f>
      </c>
      <c r="F857" s="20">
        <f>$F$837*Inputs!$E$195</f>
      </c>
      <c r="G857" s="20">
        <f>$G$837*Inputs!$F$195</f>
      </c>
      <c r="H857" s="20">
        <f>$H$837*Inputs!$G$195</f>
      </c>
      <c r="I857" s="20">
        <f>$I$837*Inputs!$H$195</f>
      </c>
      <c r="J857" s="20">
        <f>$J$837*Inputs!$I$195</f>
      </c>
    </row>
    <row r="858" spans="2:10" x14ac:dyDescent="0.25">
      <c r="B858" s="2" t="s">
        <v>1761</v>
      </c>
      <c r="C858" s="2" t="s">
        <v>14</v>
      </c>
      <c r="D858" s="33">
        <f>$D$853+$D$854+$D$856-$D$855-$D$857</f>
      </c>
      <c r="E858" s="33">
        <f>$E$853+$E$854+$E$856-$E$855-$E$857</f>
      </c>
      <c r="F858" s="33">
        <f>$F$853+$F$854+$F$856-$F$855-$F$857</f>
      </c>
      <c r="G858" s="33">
        <f>$G$853+$G$854+$G$856-$G$855-$G$857</f>
      </c>
      <c r="H858" s="33">
        <f>$H$853+$H$854+$H$856-$H$855-$H$857</f>
      </c>
      <c r="I858" s="33">
        <f>$I$853+$I$854+$I$856-$I$855-$I$857</f>
      </c>
      <c r="J858" s="33">
        <f>$J$853+$J$854+$J$856-$J$855-$J$857</f>
      </c>
    </row>
    <row r="859" spans="2:10" x14ac:dyDescent="0.25">
      <c r="B859" s="2" t="s">
        <v>1762</v>
      </c>
      <c r="C859" s="2" t="s">
        <v>14</v>
      </c>
      <c r="E859" s="20">
        <f>$E$858-$D$858</f>
      </c>
      <c r="F859" s="20">
        <f>$F$858-$E$858</f>
      </c>
      <c r="G859" s="20">
        <f>$G$858-$F$858</f>
      </c>
      <c r="H859" s="20">
        <f>$H$858-$G$858</f>
      </c>
      <c r="I859" s="20">
        <f>$I$858-$H$858</f>
      </c>
      <c r="J859" s="20">
        <f>$J$858-$I$858</f>
      </c>
    </row>
    <row r="860" spans="2:10" x14ac:dyDescent="0.25">
      <c r="B860" s="2" t="s">
        <v>1763</v>
      </c>
      <c r="C860" s="2" t="s">
        <v>14</v>
      </c>
      <c r="D860" s="20">
        <f>Inputs!$E$49</f>
      </c>
      <c r="E860" s="20">
        <f>$E$851+Inputs!$D$202*(1-$E$849)</f>
      </c>
      <c r="F860" s="20">
        <f>$F$851+Inputs!$D$202*(1-$F$849)</f>
      </c>
      <c r="G860" s="20">
        <f>$G$851+Inputs!$D$202*(1-$G$849)</f>
      </c>
      <c r="H860" s="20">
        <f>$H$851+Inputs!$D$202*(1-$H$849)</f>
      </c>
      <c r="I860" s="20">
        <f>$I$851+Inputs!$D$202*(1-$I$849)</f>
      </c>
      <c r="J860" s="20">
        <f>$J$851+Inputs!$D$202*(1-$J$849)</f>
      </c>
    </row>
    <row r="861" spans="2:10" x14ac:dyDescent="0.25">
      <c r="B861" s="2" t="s">
        <v>1764</v>
      </c>
      <c r="C861" s="2" t="s">
        <v>14</v>
      </c>
      <c r="E861" s="20">
        <f>IF(Inputs!$D$200=1,Inputs!$D$201*$D$860,0)</f>
      </c>
      <c r="F861" s="20">
        <f>IF(Inputs!$D$200=1,Inputs!$D$201*$E$860,0)</f>
      </c>
      <c r="G861" s="20">
        <f>IF(Inputs!$D$200=1,Inputs!$D$201*$F$860,0)</f>
      </c>
      <c r="H861" s="20">
        <f>IF(Inputs!$D$200=1,Inputs!$D$201*$G$860,0)</f>
      </c>
      <c r="I861" s="20">
        <f>IF(Inputs!$D$200=1,Inputs!$D$201*$H$860,0)</f>
      </c>
      <c r="J861" s="20">
        <f>IF(Inputs!$D$200=1,Inputs!$D$201*$I$860,0)</f>
      </c>
    </row>
    <row r="862" spans="2:10" x14ac:dyDescent="0.25">
      <c r="B862" s="9" t="s">
        <v>1765</v>
      </c>
      <c r="C862" s="2" t="s">
        <v>14</v>
      </c>
      <c r="E862" s="34">
        <f>$E$851+$E$845-$E$846-$E$859-$E$861</f>
      </c>
      <c r="F862" s="34">
        <f>$F$851+$F$845-$F$846-$F$859-$F$861</f>
      </c>
      <c r="G862" s="34">
        <f>$G$851+$G$845-$G$846-$G$859-$G$861</f>
      </c>
      <c r="H862" s="34">
        <f>$H$851+$H$845-$H$846-$H$859-$H$861</f>
      </c>
      <c r="I862" s="34">
        <f>$I$851+$I$845-$I$846-$I$859-$I$861</f>
      </c>
      <c r="J862" s="34">
        <f>$J$851+$J$845-$J$846-$J$859-$J$861</f>
      </c>
    </row>
    <row r="863" spans="2:9" x14ac:dyDescent="0.25">
      <c r="B863" s="2" t="s">
        <v>1766</v>
      </c>
      <c r="C863" s="2" t="s">
        <v>14</v>
      </c>
      <c r="E863" s="20">
        <f>$E$862*DCF!$D$10*(1+WACC!$D$54)^(-DCF!$D$12)</f>
      </c>
      <c r="F863" s="20">
        <f>$F$862*DCF!$E$10*(1+WACC!$D$54)^(-DCF!$E$12)</f>
      </c>
      <c r="G863" s="20">
        <f>$G$862*DCF!$F$10*(1+WACC!$D$54)^(-DCF!$F$12)</f>
      </c>
      <c r="H863" s="20">
        <f>$H$862*DCF!$G$10*(1+WACC!$D$54)^(-DCF!$G$12)</f>
      </c>
      <c r="I863" s="20">
        <f>$I$862*DCF!$H$10*(1+WACC!$D$54)^(-DCF!$H$12)</f>
      </c>
    </row>
    <row r="864" spans="2:4" x14ac:dyDescent="0.25">
      <c r="B864" s="2" t="s">
        <v>1767</v>
      </c>
      <c r="C864" s="2" t="s">
        <v>14</v>
      </c>
      <c r="D864" s="20">
        <f>SUM($E$863:$I$863)</f>
      </c>
    </row>
    <row r="865" spans="2:4" x14ac:dyDescent="0.25">
      <c r="B865" s="2" t="s">
        <v>1768</v>
      </c>
      <c r="C865" s="2" t="s">
        <v>14</v>
      </c>
      <c r="D865" s="20">
        <f>IF(Inputs!$D$171="gordon",IF(Inputs!$D$172&lt;WACC!$D$54,$J$862/(WACC!$D$54-Inputs!$D$172),"n/a"),$I$841*Inputs!$D$173)</f>
      </c>
    </row>
    <row r="866" spans="2:4" x14ac:dyDescent="0.25">
      <c r="B866" s="2" t="s">
        <v>1769</v>
      </c>
      <c r="C866" s="2" t="s">
        <v>14</v>
      </c>
      <c r="D866" s="33">
        <f>IFERROR($D$864+$D$865*(1+WACC!$D$54)^(-DCF!$D$21),"n/a")</f>
      </c>
    </row>
    <row r="867" spans="2:4" x14ac:dyDescent="0.25">
      <c r="B867" s="2" t="s">
        <v>1770</v>
      </c>
      <c r="C867" s="2" t="s">
        <v>14</v>
      </c>
      <c r="D867" s="20">
        <f>IFERROR($D$866+DCF!$D$51,"n/a")</f>
      </c>
    </row>
    <row r="868" spans="2:4" x14ac:dyDescent="0.25">
      <c r="B868" s="9" t="s">
        <v>1771</v>
      </c>
      <c r="C868" s="2" t="s">
        <v>14</v>
      </c>
      <c r="D868" s="40">
        <f>IFERROR($D$867/Inputs!$D$15,"n/a")</f>
      </c>
    </row>
    <row r="870" spans="2:5" x14ac:dyDescent="0.25">
      <c r="B870" s="2" t="s">
        <v>1772</v>
      </c>
      <c r="C870" s="2" t="s">
        <v>326</v>
      </c>
      <c r="D870" s="15">
        <f>Inputs!$H$237*Inputs!$D$233</f>
      </c>
      <c r="E870" s="15">
        <f>Inputs!$H$237*Inputs!$D$234</f>
      </c>
    </row>
    <row r="871" spans="2:10" x14ac:dyDescent="0.25">
      <c r="B871" s="9" t="s">
        <v>1773</v>
      </c>
      <c r="C871" s="2" t="s">
        <v>14</v>
      </c>
      <c r="D871" s="35">
        <f>Inputs!$E$23</f>
      </c>
      <c r="E871" s="35">
        <f>$D$871*(1+(Inputs!$D$182+$D$870))</f>
      </c>
      <c r="F871" s="35">
        <f>$E$871*(1+(Inputs!$E$182+$D$870))</f>
      </c>
      <c r="G871" s="35">
        <f>$F$871*(1+(Inputs!$F$182+$D$870))</f>
      </c>
      <c r="H871" s="35">
        <f>$G$871*(1+(Inputs!$G$182+$D$870))</f>
      </c>
      <c r="I871" s="35">
        <f>$H$871*(1+(Inputs!$H$182+$D$870))</f>
      </c>
      <c r="J871" s="35">
        <f>$I$871*(1+Inputs!$D$172)</f>
      </c>
    </row>
    <row r="872" spans="2:10" x14ac:dyDescent="0.25">
      <c r="B872" s="2" t="s">
        <v>1774</v>
      </c>
      <c r="C872" s="2" t="s">
        <v>14</v>
      </c>
      <c r="D872" s="20">
        <f>$D$871*((Inputs!$E$26+Inputs!$E$51+Inputs!$E$52)/$D$871)</f>
      </c>
      <c r="E872" s="20">
        <f>$E$871*(Inputs!$D$183+$E$870)</f>
      </c>
      <c r="F872" s="20">
        <f>$F$871*(Inputs!$E$183+$E$870)</f>
      </c>
      <c r="G872" s="20">
        <f>$G$871*(Inputs!$F$183+$E$870)</f>
      </c>
      <c r="H872" s="20">
        <f>$H$871*(Inputs!$G$183+$E$870)</f>
      </c>
      <c r="I872" s="20">
        <f>$I$871*(Inputs!$H$183+$E$870)</f>
      </c>
      <c r="J872" s="20">
        <f>$J$871*(Inputs!$I$183+$E$870)</f>
      </c>
    </row>
    <row r="873" spans="2:10" x14ac:dyDescent="0.25">
      <c r="B873" s="2" t="s">
        <v>1775</v>
      </c>
      <c r="C873" s="2" t="s">
        <v>14</v>
      </c>
      <c r="D873" s="20">
        <f>-(Inputs!$E$29+Inputs!$E$30)</f>
      </c>
      <c r="E873" s="20">
        <f>$E$871*Inputs!$D$184</f>
      </c>
      <c r="F873" s="20">
        <f>$F$871*Inputs!$E$184</f>
      </c>
      <c r="G873" s="20">
        <f>$G$871*Inputs!$F$184</f>
      </c>
      <c r="H873" s="20">
        <f>$H$871*Inputs!$G$184</f>
      </c>
      <c r="I873" s="20">
        <f>$I$871*Inputs!$H$184</f>
      </c>
      <c r="J873" s="20">
        <f>$J$871*Inputs!$I$184</f>
      </c>
    </row>
    <row r="874" spans="2:10" x14ac:dyDescent="0.25">
      <c r="B874" s="2" t="s">
        <v>1776</v>
      </c>
      <c r="C874" s="2" t="s">
        <v>14</v>
      </c>
      <c r="D874" s="20">
        <f>Normalization!$D$13-Inputs!$E$26-Inputs!$E$29-Inputs!$E$30</f>
      </c>
      <c r="E874" s="20">
        <f>$E$871*Inputs!$D$185</f>
      </c>
      <c r="F874" s="20">
        <f>$F$871*Inputs!$E$185</f>
      </c>
      <c r="G874" s="20">
        <f>$G$871*Inputs!$F$185</f>
      </c>
      <c r="H874" s="20">
        <f>$H$871*Inputs!$G$185</f>
      </c>
      <c r="I874" s="20">
        <f>$I$871*Inputs!$H$185</f>
      </c>
      <c r="J874" s="20">
        <f>$J$871*Inputs!$I$185</f>
      </c>
    </row>
    <row r="875" spans="2:10" x14ac:dyDescent="0.25">
      <c r="B875" s="9" t="s">
        <v>1777</v>
      </c>
      <c r="C875" s="2" t="s">
        <v>14</v>
      </c>
      <c r="D875" s="34">
        <f>$D$872-$D$873+$D$874</f>
      </c>
      <c r="E875" s="34">
        <f>$E$872-$E$873+$E$874</f>
      </c>
      <c r="F875" s="34">
        <f>$F$872-$F$873+$F$874</f>
      </c>
      <c r="G875" s="34">
        <f>$G$872-$G$873+$G$874</f>
      </c>
      <c r="H875" s="34">
        <f>$H$872-$H$873+$H$874</f>
      </c>
      <c r="I875" s="34">
        <f>$I$872-$I$873+$I$874</f>
      </c>
      <c r="J875" s="34">
        <f>$J$872-$J$873+$J$874</f>
      </c>
    </row>
    <row r="876" spans="2:10" x14ac:dyDescent="0.25">
      <c r="B876" s="2" t="s">
        <v>1778</v>
      </c>
      <c r="C876" s="2" t="s">
        <v>14</v>
      </c>
      <c r="E876" s="20">
        <f>Inputs!$E$57</f>
      </c>
      <c r="F876" s="20">
        <f>$E$881</f>
      </c>
      <c r="G876" s="20">
        <f>$F$881</f>
      </c>
      <c r="H876" s="20">
        <f>$G$881</f>
      </c>
      <c r="I876" s="20">
        <f>$H$881</f>
      </c>
      <c r="J876" s="20">
        <f>$I$881</f>
      </c>
    </row>
    <row r="877" spans="2:10" x14ac:dyDescent="0.25">
      <c r="B877" s="2" t="s">
        <v>1779</v>
      </c>
      <c r="C877" s="2" t="s">
        <v>14</v>
      </c>
      <c r="D877" s="20">
        <f>Inputs!$E$51</f>
      </c>
      <c r="E877" s="20">
        <f>IF(Inputs!$D$180="ppe_rollforward",Inputs!$D$187*$E$876,$E$871*Inputs!$D$186)</f>
      </c>
      <c r="F877" s="20">
        <f>IF(Inputs!$D$180="ppe_rollforward",Inputs!$E$187*$F$876,$F$871*Inputs!$E$186)</f>
      </c>
      <c r="G877" s="20">
        <f>IF(Inputs!$D$180="ppe_rollforward",Inputs!$F$187*$G$876,$G$871*Inputs!$F$186)</f>
      </c>
      <c r="H877" s="20">
        <f>IF(Inputs!$D$180="ppe_rollforward",Inputs!$G$187*$H$876,$H$871*Inputs!$G$186)</f>
      </c>
      <c r="I877" s="20">
        <f>IF(Inputs!$D$180="ppe_rollforward",Inputs!$H$187*$I$876,$I$871*Inputs!$H$186)</f>
      </c>
      <c r="J877" s="20">
        <f>IF(Inputs!$D$180="ppe_rollforward",Inputs!$I$187*$J$876,$J$871*Inputs!$I$186)</f>
      </c>
    </row>
    <row r="878" spans="2:10" x14ac:dyDescent="0.25">
      <c r="B878" s="2" t="s">
        <v>1780</v>
      </c>
      <c r="C878" s="2" t="s">
        <v>14</v>
      </c>
      <c r="D878" s="20">
        <f>Inputs!$E$52</f>
      </c>
      <c r="E878" s="20">
        <f>IF(Inputs!$D$180="ppe_rollforward",$E$871*Inputs!$D$188,0)</f>
      </c>
      <c r="F878" s="20">
        <f>IF(Inputs!$D$180="ppe_rollforward",$F$871*Inputs!$E$188,0)</f>
      </c>
      <c r="G878" s="20">
        <f>IF(Inputs!$D$180="ppe_rollforward",$G$871*Inputs!$F$188,0)</f>
      </c>
      <c r="H878" s="20">
        <f>IF(Inputs!$D$180="ppe_rollforward",$H$871*Inputs!$G$188,0)</f>
      </c>
      <c r="I878" s="20">
        <f>IF(Inputs!$D$180="ppe_rollforward",$I$871*Inputs!$H$188,0)</f>
      </c>
      <c r="J878" s="20">
        <f>IF(Inputs!$D$180="ppe_rollforward",$J$871*Inputs!$I$188,0)</f>
      </c>
    </row>
    <row r="879" spans="2:10" x14ac:dyDescent="0.25">
      <c r="B879" s="2" t="s">
        <v>1781</v>
      </c>
      <c r="C879" s="2" t="s">
        <v>14</v>
      </c>
      <c r="D879" s="20">
        <f>$D$877+$D$878</f>
      </c>
      <c r="E879" s="20">
        <f>$E$877+$E$878</f>
      </c>
      <c r="F879" s="20">
        <f>$F$877+$F$878</f>
      </c>
      <c r="G879" s="20">
        <f>$G$877+$G$878</f>
      </c>
      <c r="H879" s="20">
        <f>$H$877+$H$878</f>
      </c>
      <c r="I879" s="20">
        <f>$I$877+$I$878</f>
      </c>
      <c r="J879" s="20">
        <f>$J$877+$J$878</f>
      </c>
    </row>
    <row r="880" spans="2:10" x14ac:dyDescent="0.25">
      <c r="B880" s="2" t="s">
        <v>1782</v>
      </c>
      <c r="C880" s="2" t="s">
        <v>14</v>
      </c>
      <c r="D880" s="20">
        <f>-Inputs!$E$111</f>
      </c>
      <c r="E880" s="20">
        <f>IF(Inputs!$D$181="absolute",Inputs!$D$190,$E$871*Inputs!$D$189)</f>
      </c>
      <c r="F880" s="20">
        <f>IF(Inputs!$D$181="absolute",Inputs!$E$190,$F$871*Inputs!$E$189)</f>
      </c>
      <c r="G880" s="20">
        <f>IF(Inputs!$D$181="absolute",Inputs!$F$190,$G$871*Inputs!$F$189)</f>
      </c>
      <c r="H880" s="20">
        <f>IF(Inputs!$D$181="absolute",Inputs!$G$190,$H$871*Inputs!$G$189)</f>
      </c>
      <c r="I880" s="20">
        <f>IF(Inputs!$D$181="absolute",Inputs!$H$190,$I$871*Inputs!$H$189)</f>
      </c>
      <c r="J880" s="20">
        <f>$J$871*Inputs!$I$189</f>
      </c>
    </row>
    <row r="881" spans="2:10" x14ac:dyDescent="0.25">
      <c r="B881" s="2" t="s">
        <v>1783</v>
      </c>
      <c r="C881" s="2" t="s">
        <v>14</v>
      </c>
      <c r="D881" s="20">
        <f>Inputs!$E$57</f>
      </c>
      <c r="E881" s="20">
        <f>$E$876+$E$880-$E$877</f>
      </c>
      <c r="F881" s="20">
        <f>$F$876+$F$880-$F$877</f>
      </c>
      <c r="G881" s="20">
        <f>$G$876+$G$880-$G$877</f>
      </c>
      <c r="H881" s="20">
        <f>$H$876+$H$880-$H$877</f>
      </c>
      <c r="I881" s="20">
        <f>$I$876+$I$880-$I$877</f>
      </c>
      <c r="J881" s="20">
        <f>$J$876+$J$880-$J$877</f>
      </c>
    </row>
    <row r="882" spans="2:10" x14ac:dyDescent="0.25">
      <c r="B882" s="9" t="s">
        <v>1784</v>
      </c>
      <c r="C882" s="2" t="s">
        <v>14</v>
      </c>
      <c r="D882" s="35">
        <f>$D$875-$D$879</f>
      </c>
      <c r="E882" s="35">
        <f>$E$875-$E$879</f>
      </c>
      <c r="F882" s="35">
        <f>$F$875-$F$879</f>
      </c>
      <c r="G882" s="35">
        <f>$G$875-$G$879</f>
      </c>
      <c r="H882" s="35">
        <f>$H$875-$H$879</f>
      </c>
      <c r="I882" s="35">
        <f>$I$875-$I$879</f>
      </c>
      <c r="J882" s="35">
        <f>$J$875-$J$879</f>
      </c>
    </row>
    <row r="883" spans="2:10" x14ac:dyDescent="0.25">
      <c r="B883" s="2" t="s">
        <v>1785</v>
      </c>
      <c r="C883" s="2" t="s">
        <v>54</v>
      </c>
      <c r="D883" s="11">
        <f>Inputs!$D$133</f>
      </c>
      <c r="E883" s="11">
        <f>Inputs!$D$196</f>
      </c>
      <c r="F883" s="11">
        <f>Inputs!$E$196</f>
      </c>
      <c r="G883" s="11">
        <f>Inputs!$F$196</f>
      </c>
      <c r="H883" s="11">
        <f>Inputs!$G$196</f>
      </c>
      <c r="I883" s="11">
        <f>Inputs!$H$196</f>
      </c>
      <c r="J883" s="11">
        <f>Inputs!$I$196</f>
      </c>
    </row>
    <row r="884" spans="2:10" x14ac:dyDescent="0.25">
      <c r="B884" s="2" t="s">
        <v>1786</v>
      </c>
      <c r="C884" s="2" t="s">
        <v>14</v>
      </c>
      <c r="D884" s="20">
        <f>$D$882*$D$883</f>
      </c>
      <c r="E884" s="20">
        <f>$E$882*$E$883</f>
      </c>
      <c r="F884" s="20">
        <f>$F$882*$F$883</f>
      </c>
      <c r="G884" s="20">
        <f>$G$882*$G$883</f>
      </c>
      <c r="H884" s="20">
        <f>$H$882*$H$883</f>
      </c>
      <c r="I884" s="20">
        <f>$I$882*$I$883</f>
      </c>
      <c r="J884" s="20">
        <f>$J$882*$J$883</f>
      </c>
    </row>
    <row r="885" spans="2:10" x14ac:dyDescent="0.25">
      <c r="B885" s="2" t="s">
        <v>1787</v>
      </c>
      <c r="C885" s="2" t="s">
        <v>14</v>
      </c>
      <c r="D885" s="33">
        <f>$D$882-$D$884</f>
      </c>
      <c r="E885" s="33">
        <f>$E$882-$E$884</f>
      </c>
      <c r="F885" s="33">
        <f>$F$882-$F$884</f>
      </c>
      <c r="G885" s="33">
        <f>$G$882-$G$884</f>
      </c>
      <c r="H885" s="33">
        <f>$H$882-$H$884</f>
      </c>
      <c r="I885" s="33">
        <f>$I$882-$I$884</f>
      </c>
      <c r="J885" s="33">
        <f>$J$882-$J$884</f>
      </c>
    </row>
    <row r="886" spans="2:10" x14ac:dyDescent="0.25">
      <c r="B886" s="2" t="s">
        <v>1788</v>
      </c>
      <c r="C886" s="2" t="s">
        <v>14</v>
      </c>
      <c r="D886" s="20">
        <f>$D$871*(1-((Inputs!$E$26+Inputs!$E$51+Inputs!$E$52)/$D$871))</f>
      </c>
      <c r="E886" s="20">
        <f>$E$871*(1-(Inputs!$D$183+$E$870))</f>
      </c>
      <c r="F886" s="20">
        <f>$F$871*(1-(Inputs!$E$183+$E$870))</f>
      </c>
      <c r="G886" s="20">
        <f>$G$871*(1-(Inputs!$F$183+$E$870))</f>
      </c>
      <c r="H886" s="20">
        <f>$H$871*(1-(Inputs!$G$183+$E$870))</f>
      </c>
      <c r="I886" s="20">
        <f>$I$871*(1-(Inputs!$H$183+$E$870))</f>
      </c>
      <c r="J886" s="20">
        <f>$J$871*(1-(Inputs!$I$183+$E$870))</f>
      </c>
    </row>
    <row r="887" spans="2:10" x14ac:dyDescent="0.25">
      <c r="B887" s="2" t="s">
        <v>1789</v>
      </c>
      <c r="C887" s="2" t="s">
        <v>14</v>
      </c>
      <c r="D887" s="20">
        <f>Inputs!$E$67</f>
      </c>
      <c r="E887" s="20">
        <f>$E$871*Inputs!$D$191/Inputs!$D$18</f>
      </c>
      <c r="F887" s="20">
        <f>$F$871*Inputs!$E$191/Inputs!$D$18</f>
      </c>
      <c r="G887" s="20">
        <f>$G$871*Inputs!$F$191/Inputs!$D$18</f>
      </c>
      <c r="H887" s="20">
        <f>$H$871*Inputs!$G$191/Inputs!$D$18</f>
      </c>
      <c r="I887" s="20">
        <f>$I$871*Inputs!$H$191/Inputs!$D$18</f>
      </c>
      <c r="J887" s="20">
        <f>$J$871*Inputs!$I$191/Inputs!$D$18</f>
      </c>
    </row>
    <row r="888" spans="2:10" x14ac:dyDescent="0.25">
      <c r="B888" s="2" t="s">
        <v>1790</v>
      </c>
      <c r="C888" s="2" t="s">
        <v>14</v>
      </c>
      <c r="D888" s="20">
        <f>Inputs!$E$66</f>
      </c>
      <c r="E888" s="20">
        <f>$E$886*Inputs!$D$192/Inputs!$D$18</f>
      </c>
      <c r="F888" s="20">
        <f>$F$886*Inputs!$E$192/Inputs!$D$18</f>
      </c>
      <c r="G888" s="20">
        <f>$G$886*Inputs!$F$192/Inputs!$D$18</f>
      </c>
      <c r="H888" s="20">
        <f>$H$886*Inputs!$G$192/Inputs!$D$18</f>
      </c>
      <c r="I888" s="20">
        <f>$I$886*Inputs!$H$192/Inputs!$D$18</f>
      </c>
      <c r="J888" s="20">
        <f>$J$886*Inputs!$I$192/Inputs!$D$18</f>
      </c>
    </row>
    <row r="889" spans="2:10" x14ac:dyDescent="0.25">
      <c r="B889" s="2" t="s">
        <v>1791</v>
      </c>
      <c r="C889" s="2" t="s">
        <v>14</v>
      </c>
      <c r="D889" s="20">
        <f>Inputs!$E$93</f>
      </c>
      <c r="E889" s="20">
        <f>$E$886*Inputs!$D$193/Inputs!$D$18</f>
      </c>
      <c r="F889" s="20">
        <f>$F$886*Inputs!$E$193/Inputs!$D$18</f>
      </c>
      <c r="G889" s="20">
        <f>$G$886*Inputs!$F$193/Inputs!$D$18</f>
      </c>
      <c r="H889" s="20">
        <f>$H$886*Inputs!$G$193/Inputs!$D$18</f>
      </c>
      <c r="I889" s="20">
        <f>$I$886*Inputs!$H$193/Inputs!$D$18</f>
      </c>
      <c r="J889" s="20">
        <f>$J$886*Inputs!$I$193/Inputs!$D$18</f>
      </c>
    </row>
    <row r="890" spans="2:10" x14ac:dyDescent="0.25">
      <c r="B890" s="2" t="s">
        <v>1792</v>
      </c>
      <c r="C890" s="2" t="s">
        <v>14</v>
      </c>
      <c r="D890" s="20">
        <f>Inputs!$E$70+Inputs!$E$72+Inputs!$E$71</f>
      </c>
      <c r="E890" s="20">
        <f>$E$871*Inputs!$D$194</f>
      </c>
      <c r="F890" s="20">
        <f>$F$871*Inputs!$E$194</f>
      </c>
      <c r="G890" s="20">
        <f>$G$871*Inputs!$F$194</f>
      </c>
      <c r="H890" s="20">
        <f>$H$871*Inputs!$G$194</f>
      </c>
      <c r="I890" s="20">
        <f>$I$871*Inputs!$H$194</f>
      </c>
      <c r="J890" s="20">
        <f>$J$871*Inputs!$I$194</f>
      </c>
    </row>
    <row r="891" spans="2:10" x14ac:dyDescent="0.25">
      <c r="B891" s="2" t="s">
        <v>1793</v>
      </c>
      <c r="C891" s="2" t="s">
        <v>14</v>
      </c>
      <c r="D891" s="20">
        <f>Inputs!$E$94+Inputs!$E$95+Inputs!$E$97+Inputs!$E$98+Inputs!$E$99</f>
      </c>
      <c r="E891" s="20">
        <f>$E$871*Inputs!$D$195</f>
      </c>
      <c r="F891" s="20">
        <f>$F$871*Inputs!$E$195</f>
      </c>
      <c r="G891" s="20">
        <f>$G$871*Inputs!$F$195</f>
      </c>
      <c r="H891" s="20">
        <f>$H$871*Inputs!$G$195</f>
      </c>
      <c r="I891" s="20">
        <f>$I$871*Inputs!$H$195</f>
      </c>
      <c r="J891" s="20">
        <f>$J$871*Inputs!$I$195</f>
      </c>
    </row>
    <row r="892" spans="2:10" x14ac:dyDescent="0.25">
      <c r="B892" s="2" t="s">
        <v>1794</v>
      </c>
      <c r="C892" s="2" t="s">
        <v>14</v>
      </c>
      <c r="D892" s="33">
        <f>$D$887+$D$888+$D$890-$D$889-$D$891</f>
      </c>
      <c r="E892" s="33">
        <f>$E$887+$E$888+$E$890-$E$889-$E$891</f>
      </c>
      <c r="F892" s="33">
        <f>$F$887+$F$888+$F$890-$F$889-$F$891</f>
      </c>
      <c r="G892" s="33">
        <f>$G$887+$G$888+$G$890-$G$889-$G$891</f>
      </c>
      <c r="H892" s="33">
        <f>$H$887+$H$888+$H$890-$H$889-$H$891</f>
      </c>
      <c r="I892" s="33">
        <f>$I$887+$I$888+$I$890-$I$889-$I$891</f>
      </c>
      <c r="J892" s="33">
        <f>$J$887+$J$888+$J$890-$J$889-$J$891</f>
      </c>
    </row>
    <row r="893" spans="2:10" x14ac:dyDescent="0.25">
      <c r="B893" s="2" t="s">
        <v>1795</v>
      </c>
      <c r="C893" s="2" t="s">
        <v>14</v>
      </c>
      <c r="E893" s="20">
        <f>$E$892-$D$892</f>
      </c>
      <c r="F893" s="20">
        <f>$F$892-$E$892</f>
      </c>
      <c r="G893" s="20">
        <f>$G$892-$F$892</f>
      </c>
      <c r="H893" s="20">
        <f>$H$892-$G$892</f>
      </c>
      <c r="I893" s="20">
        <f>$I$892-$H$892</f>
      </c>
      <c r="J893" s="20">
        <f>$J$892-$I$892</f>
      </c>
    </row>
    <row r="894" spans="2:10" x14ac:dyDescent="0.25">
      <c r="B894" s="2" t="s">
        <v>1796</v>
      </c>
      <c r="C894" s="2" t="s">
        <v>14</v>
      </c>
      <c r="D894" s="20">
        <f>Inputs!$E$49</f>
      </c>
      <c r="E894" s="20">
        <f>$E$885+Inputs!$D$202*(1-$E$883)</f>
      </c>
      <c r="F894" s="20">
        <f>$F$885+Inputs!$D$202*(1-$F$883)</f>
      </c>
      <c r="G894" s="20">
        <f>$G$885+Inputs!$D$202*(1-$G$883)</f>
      </c>
      <c r="H894" s="20">
        <f>$H$885+Inputs!$D$202*(1-$H$883)</f>
      </c>
      <c r="I894" s="20">
        <f>$I$885+Inputs!$D$202*(1-$I$883)</f>
      </c>
      <c r="J894" s="20">
        <f>$J$885+Inputs!$D$202*(1-$J$883)</f>
      </c>
    </row>
    <row r="895" spans="2:10" x14ac:dyDescent="0.25">
      <c r="B895" s="2" t="s">
        <v>1797</v>
      </c>
      <c r="C895" s="2" t="s">
        <v>14</v>
      </c>
      <c r="E895" s="20">
        <f>IF(Inputs!$D$200=1,Inputs!$D$201*$D$894,0)</f>
      </c>
      <c r="F895" s="20">
        <f>IF(Inputs!$D$200=1,Inputs!$D$201*$E$894,0)</f>
      </c>
      <c r="G895" s="20">
        <f>IF(Inputs!$D$200=1,Inputs!$D$201*$F$894,0)</f>
      </c>
      <c r="H895" s="20">
        <f>IF(Inputs!$D$200=1,Inputs!$D$201*$G$894,0)</f>
      </c>
      <c r="I895" s="20">
        <f>IF(Inputs!$D$200=1,Inputs!$D$201*$H$894,0)</f>
      </c>
      <c r="J895" s="20">
        <f>IF(Inputs!$D$200=1,Inputs!$D$201*$I$894,0)</f>
      </c>
    </row>
    <row r="896" spans="2:10" x14ac:dyDescent="0.25">
      <c r="B896" s="9" t="s">
        <v>1798</v>
      </c>
      <c r="C896" s="2" t="s">
        <v>14</v>
      </c>
      <c r="E896" s="34">
        <f>$E$885+$E$879-$E$880-$E$893-$E$895</f>
      </c>
      <c r="F896" s="34">
        <f>$F$885+$F$879-$F$880-$F$893-$F$895</f>
      </c>
      <c r="G896" s="34">
        <f>$G$885+$G$879-$G$880-$G$893-$G$895</f>
      </c>
      <c r="H896" s="34">
        <f>$H$885+$H$879-$H$880-$H$893-$H$895</f>
      </c>
      <c r="I896" s="34">
        <f>$I$885+$I$879-$I$880-$I$893-$I$895</f>
      </c>
      <c r="J896" s="34">
        <f>$J$885+$J$879-$J$880-$J$893-$J$895</f>
      </c>
    </row>
    <row r="897" spans="2:9" x14ac:dyDescent="0.25">
      <c r="B897" s="2" t="s">
        <v>1799</v>
      </c>
      <c r="C897" s="2" t="s">
        <v>14</v>
      </c>
      <c r="E897" s="20">
        <f>$E$896*DCF!$D$10*(1+WACC!$D$54)^(-DCF!$D$12)</f>
      </c>
      <c r="F897" s="20">
        <f>$F$896*DCF!$E$10*(1+WACC!$D$54)^(-DCF!$E$12)</f>
      </c>
      <c r="G897" s="20">
        <f>$G$896*DCF!$F$10*(1+WACC!$D$54)^(-DCF!$F$12)</f>
      </c>
      <c r="H897" s="20">
        <f>$H$896*DCF!$G$10*(1+WACC!$D$54)^(-DCF!$G$12)</f>
      </c>
      <c r="I897" s="20">
        <f>$I$896*DCF!$H$10*(1+WACC!$D$54)^(-DCF!$H$12)</f>
      </c>
    </row>
    <row r="898" spans="2:4" x14ac:dyDescent="0.25">
      <c r="B898" s="2" t="s">
        <v>1800</v>
      </c>
      <c r="C898" s="2" t="s">
        <v>14</v>
      </c>
      <c r="D898" s="20">
        <f>SUM($E$897:$I$897)</f>
      </c>
    </row>
    <row r="899" spans="2:4" x14ac:dyDescent="0.25">
      <c r="B899" s="2" t="s">
        <v>1801</v>
      </c>
      <c r="C899" s="2" t="s">
        <v>14</v>
      </c>
      <c r="D899" s="20">
        <f>IF(Inputs!$D$171="gordon",IF(Inputs!$D$172&lt;WACC!$D$54,$J$896/(WACC!$D$54-Inputs!$D$172),"n/a"),$I$875*Inputs!$D$173)</f>
      </c>
    </row>
    <row r="900" spans="2:4" x14ac:dyDescent="0.25">
      <c r="B900" s="2" t="s">
        <v>1802</v>
      </c>
      <c r="C900" s="2" t="s">
        <v>14</v>
      </c>
      <c r="D900" s="33">
        <f>IFERROR($D$898+$D$899*(1+WACC!$D$54)^(-DCF!$D$21),"n/a")</f>
      </c>
    </row>
    <row r="901" spans="2:4" x14ac:dyDescent="0.25">
      <c r="B901" s="2" t="s">
        <v>1803</v>
      </c>
      <c r="C901" s="2" t="s">
        <v>14</v>
      </c>
      <c r="D901" s="20">
        <f>IFERROR($D$900+DCF!$D$51,"n/a")</f>
      </c>
    </row>
    <row r="902" spans="2:4" x14ac:dyDescent="0.25">
      <c r="B902" s="9" t="s">
        <v>1804</v>
      </c>
      <c r="C902" s="2" t="s">
        <v>14</v>
      </c>
      <c r="D902" s="40">
        <f>IFERROR($D$901/Inputs!$D$15,"n/a")</f>
      </c>
    </row>
  </sheetData>
  <pageMargins left="0.4" right="0.4" top="0.5" bottom="0.6" header="0.3" footer="0.3"/>
  <pageSetup paperSize="9" orientation="landscape" fitToWidth="1" fitToHeight="0"/>
  <headerFooter>
    <oddFooter>&amp;CMOPCO | Sensitivity |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40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52" customWidth="1"/>
    <col min="3" max="3" width="11" customWidth="1"/>
    <col min="4" max="6" width="17" customWidth="1"/>
    <col min="7" max="7" width="70" customWidth="1"/>
  </cols>
  <sheetData>
    <row r="2" spans="2:2" x14ac:dyDescent="0.25">
      <c r="B2" s="1" t="s">
        <v>1805</v>
      </c>
    </row>
    <row r="3" spans="2:2" x14ac:dyDescent="0.25">
      <c r="B3" s="2" t="s">
        <v>1806</v>
      </c>
    </row>
    <row r="4" spans="2:2" x14ac:dyDescent="0.25">
      <c r="B4" s="2" t="s">
        <v>2</v>
      </c>
    </row>
    <row r="6" spans="2:7" x14ac:dyDescent="0.25">
      <c r="B6" s="3" t="s">
        <v>40</v>
      </c>
      <c r="C6" s="4"/>
      <c r="D6" s="4"/>
      <c r="E6" s="4"/>
      <c r="F6" s="4"/>
      <c r="G6" s="4"/>
    </row>
    <row r="7" spans="2:7" x14ac:dyDescent="0.25">
      <c r="B7" s="4"/>
      <c r="C7" s="3" t="s">
        <v>4</v>
      </c>
      <c r="D7" s="5" t="s">
        <v>1807</v>
      </c>
      <c r="E7" s="5" t="s">
        <v>5</v>
      </c>
      <c r="F7" s="5" t="s">
        <v>1808</v>
      </c>
      <c r="G7" s="3" t="s">
        <v>6</v>
      </c>
    </row>
    <row r="8" spans="2:4" x14ac:dyDescent="0.25">
      <c r="B8" s="2" t="s">
        <v>1809</v>
      </c>
      <c r="C8" s="2" t="s">
        <v>4</v>
      </c>
      <c r="D8" s="2">
        <f>ABS(Inputs!$D$75-Inputs!$D$83-Inputs!$D$100)&lt;Inputs!$D$250</f>
      </c>
    </row>
    <row r="9" spans="2:4" x14ac:dyDescent="0.25">
      <c r="B9" s="2" t="s">
        <v>1810</v>
      </c>
      <c r="C9" s="2" t="s">
        <v>4</v>
      </c>
      <c r="D9" s="2">
        <f>ABS(Inputs!$D$36-(Inputs!$D$26+Inputs!$D$27+Inputs!$D$29+Inputs!$D$30+Inputs!$D$31+Inputs!$D$32+Inputs!$D$33+Inputs!$D$34+Inputs!$D$35))&lt;Inputs!$D$250</f>
      </c>
    </row>
    <row r="10" spans="2:4" x14ac:dyDescent="0.25">
      <c r="B10" s="2" t="s">
        <v>1811</v>
      </c>
      <c r="C10" s="2" t="s">
        <v>4</v>
      </c>
      <c r="D10" s="2">
        <f>ABS(Inputs!$D$49-(Inputs!$D$36+Inputs!$D$37+Inputs!$D$38+Inputs!$D$39+Inputs!$D$40+Inputs!$D$41+Inputs!$D$42+Inputs!$D$43+Inputs!$D$44+Inputs!$D$48))&lt;Inputs!$D$250</f>
      </c>
    </row>
    <row r="11" spans="2:4" x14ac:dyDescent="0.25">
      <c r="B11" s="2" t="s">
        <v>1812</v>
      </c>
      <c r="C11" s="2" t="s">
        <v>4</v>
      </c>
      <c r="D11" s="2">
        <f>ABS(Inputs!$E$75-Inputs!$E$83-Inputs!$E$100)&lt;Inputs!$D$250</f>
      </c>
    </row>
    <row r="12" spans="2:4" x14ac:dyDescent="0.25">
      <c r="B12" s="2" t="s">
        <v>1813</v>
      </c>
      <c r="C12" s="2" t="s">
        <v>4</v>
      </c>
      <c r="D12" s="2">
        <f>ABS(Inputs!$E$36-(Inputs!$E$26+Inputs!$E$27+Inputs!$E$29+Inputs!$E$30+Inputs!$E$31+Inputs!$E$32+Inputs!$E$33+Inputs!$E$34+Inputs!$E$35))&lt;Inputs!$D$250</f>
      </c>
    </row>
    <row r="13" spans="2:4" x14ac:dyDescent="0.25">
      <c r="B13" s="2" t="s">
        <v>1814</v>
      </c>
      <c r="C13" s="2" t="s">
        <v>4</v>
      </c>
      <c r="D13" s="2">
        <f>ABS(Inputs!$E$49-(Inputs!$E$36+Inputs!$E$37+Inputs!$E$38+Inputs!$E$39+Inputs!$E$40+Inputs!$E$41+Inputs!$E$42+Inputs!$E$43+Inputs!$E$44+Inputs!$E$48))&lt;Inputs!$D$250</f>
      </c>
    </row>
    <row r="14" spans="2:4" x14ac:dyDescent="0.25">
      <c r="B14" s="2" t="s">
        <v>1815</v>
      </c>
      <c r="C14" s="2" t="s">
        <v>4</v>
      </c>
      <c r="D14" s="2">
        <f>ABS('Operating Model'!$E$38-('Operating Model'!$E$29+'Operating Model'!$E$31+'Operating Model'!$E$35-'Operating Model'!$E$33-'Operating Model'!$E$37))&lt;Inputs!$D$250</f>
      </c>
    </row>
    <row r="15" spans="2:4" x14ac:dyDescent="0.25">
      <c r="B15" s="2" t="s">
        <v>1816</v>
      </c>
      <c r="C15" s="2" t="s">
        <v>4</v>
      </c>
      <c r="D15" s="2">
        <f>ABS('Operating Model'!$E$22-('Operating Model'!$E$17+'Operating Model'!$E$21-'Operating Model'!$E$18))&lt;Inputs!$D$250</f>
      </c>
    </row>
    <row r="16" spans="2:4" x14ac:dyDescent="0.25">
      <c r="B16" s="2" t="s">
        <v>1817</v>
      </c>
      <c r="C16" s="2" t="s">
        <v>4</v>
      </c>
      <c r="D16" s="2">
        <f>ABS('Operating Model'!$F$38-('Operating Model'!$F$29+'Operating Model'!$F$31+'Operating Model'!$F$35-'Operating Model'!$F$33-'Operating Model'!$F$37))&lt;Inputs!$D$250</f>
      </c>
    </row>
    <row r="17" spans="2:4" x14ac:dyDescent="0.25">
      <c r="B17" s="2" t="s">
        <v>1818</v>
      </c>
      <c r="C17" s="2" t="s">
        <v>4</v>
      </c>
      <c r="D17" s="2">
        <f>ABS('Operating Model'!$F$22-('Operating Model'!$F$17+'Operating Model'!$F$21-'Operating Model'!$F$18))&lt;Inputs!$D$250</f>
      </c>
    </row>
    <row r="18" spans="2:4" x14ac:dyDescent="0.25">
      <c r="B18" s="2" t="s">
        <v>1819</v>
      </c>
      <c r="C18" s="2" t="s">
        <v>4</v>
      </c>
      <c r="D18" s="2">
        <f>ABS('Operating Model'!$G$38-('Operating Model'!$G$29+'Operating Model'!$G$31+'Operating Model'!$G$35-'Operating Model'!$G$33-'Operating Model'!$G$37))&lt;Inputs!$D$250</f>
      </c>
    </row>
    <row r="19" spans="2:4" x14ac:dyDescent="0.25">
      <c r="B19" s="2" t="s">
        <v>1820</v>
      </c>
      <c r="C19" s="2" t="s">
        <v>4</v>
      </c>
      <c r="D19" s="2">
        <f>ABS('Operating Model'!$G$22-('Operating Model'!$G$17+'Operating Model'!$G$21-'Operating Model'!$G$18))&lt;Inputs!$D$250</f>
      </c>
    </row>
    <row r="20" spans="2:4" x14ac:dyDescent="0.25">
      <c r="B20" s="2" t="s">
        <v>1821</v>
      </c>
      <c r="C20" s="2" t="s">
        <v>4</v>
      </c>
      <c r="D20" s="2">
        <f>ABS('Operating Model'!$H$38-('Operating Model'!$H$29+'Operating Model'!$H$31+'Operating Model'!$H$35-'Operating Model'!$H$33-'Operating Model'!$H$37))&lt;Inputs!$D$250</f>
      </c>
    </row>
    <row r="21" spans="2:4" x14ac:dyDescent="0.25">
      <c r="B21" s="2" t="s">
        <v>1822</v>
      </c>
      <c r="C21" s="2" t="s">
        <v>4</v>
      </c>
      <c r="D21" s="2">
        <f>ABS('Operating Model'!$H$22-('Operating Model'!$H$17+'Operating Model'!$H$21-'Operating Model'!$H$18))&lt;Inputs!$D$250</f>
      </c>
    </row>
    <row r="22" spans="2:4" x14ac:dyDescent="0.25">
      <c r="B22" s="2" t="s">
        <v>1823</v>
      </c>
      <c r="C22" s="2" t="s">
        <v>4</v>
      </c>
      <c r="D22" s="2">
        <f>ABS('Operating Model'!$I$38-('Operating Model'!$I$29+'Operating Model'!$I$31+'Operating Model'!$I$35-'Operating Model'!$I$33-'Operating Model'!$I$37))&lt;Inputs!$D$250</f>
      </c>
    </row>
    <row r="23" spans="2:4" x14ac:dyDescent="0.25">
      <c r="B23" s="2" t="s">
        <v>1824</v>
      </c>
      <c r="C23" s="2" t="s">
        <v>4</v>
      </c>
      <c r="D23" s="2">
        <f>ABS('Operating Model'!$I$22-('Operating Model'!$I$17+'Operating Model'!$I$21-'Operating Model'!$I$18))&lt;Inputs!$D$250</f>
      </c>
    </row>
    <row r="24" spans="2:4" x14ac:dyDescent="0.25">
      <c r="B24" s="2" t="s">
        <v>1825</v>
      </c>
      <c r="C24" s="2" t="s">
        <v>4</v>
      </c>
      <c r="D24" s="2">
        <f>ABS('Operating Model'!$J$38-('Operating Model'!$J$29+'Operating Model'!$J$31+'Operating Model'!$J$35-'Operating Model'!$J$33-'Operating Model'!$J$37))&lt;Inputs!$D$250</f>
      </c>
    </row>
    <row r="25" spans="2:4" x14ac:dyDescent="0.25">
      <c r="B25" s="2" t="s">
        <v>1826</v>
      </c>
      <c r="C25" s="2" t="s">
        <v>4</v>
      </c>
      <c r="D25" s="2">
        <f>ABS('Operating Model'!$J$22-('Operating Model'!$J$17+'Operating Model'!$J$21-'Operating Model'!$J$18))&lt;Inputs!$D$250</f>
      </c>
    </row>
    <row r="26" spans="2:4" x14ac:dyDescent="0.25">
      <c r="B26" s="2" t="s">
        <v>1827</v>
      </c>
      <c r="C26" s="2" t="s">
        <v>4</v>
      </c>
      <c r="D26" s="2">
        <f>ABS(DCF!$D$52-(DCF!$D$30+DCF!$D$40+DCF!$D$41+DCF!$D$42+DCF!$D$43+DCF!$D$44+DCF!$D$45+DCF!$D$46+DCF!$D$47+DCF!$D$48+DCF!$D$49))&lt;Inputs!$D$250</f>
      </c>
    </row>
    <row r="27" spans="2:5" x14ac:dyDescent="0.25">
      <c r="B27" s="2" t="s">
        <v>1828</v>
      </c>
      <c r="C27" s="2" t="s">
        <v>4</v>
      </c>
      <c r="D27" s="2">
        <f>ABS(Scenarios!$D$19-1)&lt;Inputs!$D$252</f>
      </c>
      <c r="E27" s="11">
        <f>Scenarios!$D$19</f>
      </c>
    </row>
    <row r="28" spans="2:5" x14ac:dyDescent="0.25">
      <c r="B28" s="2" t="s">
        <v>1829</v>
      </c>
      <c r="C28" s="2" t="s">
        <v>4</v>
      </c>
      <c r="D28" s="2">
        <f>ABS(Summary!$E$13-1)&lt;Inputs!$D$252</f>
      </c>
      <c r="E28" s="11">
        <f>Summary!$E$13</f>
      </c>
    </row>
    <row r="29" spans="2:6" x14ac:dyDescent="0.25">
      <c r="B29" s="2" t="s">
        <v>1830</v>
      </c>
      <c r="C29" s="2" t="s">
        <v>4</v>
      </c>
      <c r="D29" s="2">
        <f>Inputs!$D$172&lt;WACC!$D$54</f>
      </c>
      <c r="E29" s="15">
        <f>Inputs!$D$172</f>
      </c>
      <c r="F29" s="15">
        <f>WACC!$D$54</f>
      </c>
    </row>
    <row r="30" spans="2:6" x14ac:dyDescent="0.25">
      <c r="B30" s="2" t="s">
        <v>1831</v>
      </c>
      <c r="C30" s="2" t="s">
        <v>4</v>
      </c>
      <c r="D30" s="2">
        <f>ABS(Sensitivity!$F$23-DCF!$D$54)&lt;Inputs!$D$251</f>
      </c>
      <c r="E30" s="8">
        <f>Sensitivity!$F$23</f>
      </c>
      <c r="F30" s="8">
        <f>DCF!$D$54</f>
      </c>
    </row>
    <row r="31" spans="2:6" x14ac:dyDescent="0.25">
      <c r="B31" s="2" t="s">
        <v>1832</v>
      </c>
      <c r="C31" s="2" t="s">
        <v>4</v>
      </c>
      <c r="D31" s="2">
        <f>ABS(Sensitivity!$F$39-DCF!$D$54)&lt;Inputs!$D$251</f>
      </c>
      <c r="E31" s="8">
        <f>Sensitivity!$F$39</f>
      </c>
      <c r="F31" s="8">
        <f>DCF!$D$54</f>
      </c>
    </row>
    <row r="32" spans="2:6" x14ac:dyDescent="0.25">
      <c r="B32" s="2" t="s">
        <v>1833</v>
      </c>
      <c r="C32" s="2" t="s">
        <v>4</v>
      </c>
      <c r="D32" s="2">
        <f>ABS(Sensitivity!$F$48-DCF!$D$54)&lt;Inputs!$D$251</f>
      </c>
      <c r="E32" s="8">
        <f>Sensitivity!$F$48</f>
      </c>
      <c r="F32" s="8">
        <f>DCF!$D$54</f>
      </c>
    </row>
    <row r="33" spans="2:6" x14ac:dyDescent="0.25">
      <c r="B33" s="2" t="s">
        <v>1834</v>
      </c>
      <c r="C33" s="2" t="s">
        <v>4</v>
      </c>
      <c r="D33" s="2">
        <f>ABS(DCF!$D$54-Inputs!$D$286)&lt;Inputs!$D$251</f>
      </c>
      <c r="E33" s="8">
        <f>DCF!$D$54</f>
      </c>
      <c r="F33" s="8">
        <f>Inputs!$D$286</f>
      </c>
    </row>
    <row r="34" spans="2:6" x14ac:dyDescent="0.25">
      <c r="B34" s="2" t="s">
        <v>1835</v>
      </c>
      <c r="C34" s="2" t="s">
        <v>4</v>
      </c>
      <c r="D34" s="2">
        <f>ABS(DCF!$D$30-Inputs!$D$287)&lt;Inputs!$D$250</f>
      </c>
      <c r="E34" s="20">
        <f>DCF!$D$30</f>
      </c>
      <c r="F34" s="20">
        <f>Inputs!$D$287</f>
      </c>
    </row>
    <row r="35" spans="2:6" x14ac:dyDescent="0.25">
      <c r="B35" s="2" t="s">
        <v>1836</v>
      </c>
      <c r="C35" s="2" t="s">
        <v>4</v>
      </c>
      <c r="D35" s="2">
        <f>ABS(WACC!$D$54-Inputs!$D$289)&lt;Inputs!$D$252</f>
      </c>
      <c r="E35" s="15">
        <f>WACC!$D$54</f>
      </c>
      <c r="F35" s="15">
        <f>Inputs!$D$289</f>
      </c>
    </row>
    <row r="36" spans="2:6" x14ac:dyDescent="0.25">
      <c r="B36" s="2" t="s">
        <v>1837</v>
      </c>
      <c r="C36" s="2" t="s">
        <v>4</v>
      </c>
      <c r="D36" s="2">
        <f>ABS(DDM!$D$25-Inputs!$D$291)&lt;Inputs!$D$251</f>
      </c>
      <c r="E36" s="8">
        <f>DDM!$D$25</f>
      </c>
      <c r="F36" s="8">
        <f>Inputs!$D$291</f>
      </c>
    </row>
    <row r="37" spans="2:6" x14ac:dyDescent="0.25">
      <c r="B37" s="2" t="s">
        <v>1838</v>
      </c>
      <c r="C37" s="2" t="s">
        <v>4</v>
      </c>
      <c r="D37" s="2">
        <f>ABS(Summary!$D$14-Inputs!$D$292)&lt;Inputs!$D$251</f>
      </c>
      <c r="E37" s="8">
        <f>Summary!$D$14</f>
      </c>
      <c r="F37" s="8">
        <f>Inputs!$D$292</f>
      </c>
    </row>
    <row r="38" spans="2:6" x14ac:dyDescent="0.25">
      <c r="B38" s="2" t="s">
        <v>1839</v>
      </c>
      <c r="C38" s="2" t="s">
        <v>4</v>
      </c>
      <c r="D38" s="2">
        <f>ABS(Scenarios!$D$20-Inputs!$D$293)&lt;Inputs!$D$251</f>
      </c>
      <c r="E38" s="8">
        <f>Scenarios!$D$20</f>
      </c>
      <c r="F38" s="8">
        <f>Inputs!$D$293</f>
      </c>
    </row>
    <row r="39" spans="2:4" x14ac:dyDescent="0.25">
      <c r="B39" s="2" t="s">
        <v>1840</v>
      </c>
      <c r="C39" s="2" t="s">
        <v>4</v>
      </c>
      <c r="D39" s="2">
        <f>COUNTIFS(Sources!$M$22:$M$57,"Yes",Sources!$L$22:$L$57,"&lt;&gt;ok")=COUNTIF(Sources!$N$22:$N$57,"Flagged*")</f>
      </c>
    </row>
    <row r="40" spans="2:4" x14ac:dyDescent="0.25">
      <c r="B40" s="9" t="s">
        <v>1841</v>
      </c>
      <c r="C40" s="2" t="s">
        <v>4</v>
      </c>
      <c r="D40" s="44">
        <f>AND($D$8:$D$39)</f>
      </c>
    </row>
  </sheetData>
  <conditionalFormatting sqref="D8:D40">
    <cfRule type="cellIs" dxfId="0" priority="1" operator="equal">
      <formula>FALSE</formula>
    </cfRule>
  </conditionalFormatting>
  <pageMargins left="0.4" right="0.4" top="0.5" bottom="0.6" header="0.3" footer="0.3"/>
  <pageSetup paperSize="9" orientation="landscape" fitToWidth="1" fitToHeight="0"/>
  <headerFooter>
    <oddFooter>&amp;CMOPCO | Checks |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Summary</vt:lpstr>
      <vt:lpstr>Inputs</vt:lpstr>
      <vt:lpstr>Sources</vt:lpstr>
      <vt:lpstr>Historical</vt:lpstr>
      <vt:lpstr>Normalization</vt:lpstr>
      <vt:lpstr>Operating Model</vt:lpstr>
      <vt:lpstr>WACC</vt:lpstr>
      <vt:lpstr>DCF</vt:lpstr>
      <vt:lpstr>USD Check</vt:lpstr>
      <vt:lpstr>DDM</vt:lpstr>
      <vt:lpstr>Comps Precedents SOTP</vt:lpstr>
      <vt:lpstr>Scenarios</vt:lpstr>
      <vt:lpstr>Sensitivity</vt:lpstr>
      <vt:lpstr>Checks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Wael Metwally</dc:creator>
  <dc:title/>
  <dc:subject/>
  <dc:description/>
  <cp:keywords/>
  <cp:category/>
  <cp:lastModifiedBy>Unknown</cp:lastModifiedBy>
  <dcterms:created xsi:type="dcterms:W3CDTF">2026-07-02T00:00:00Z</dcterms:created>
  <dcterms:modified xsi:type="dcterms:W3CDTF">2026-09-24T07:01:34Z</dcterms:modified>
</cp:coreProperties>
</file>